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470954\Downloads\"/>
    </mc:Choice>
  </mc:AlternateContent>
  <xr:revisionPtr revIDLastSave="0" documentId="13_ncr:1_{3A6CB490-72FF-4F06-BC47-9AD294BF37E0}" xr6:coauthVersionLast="47" xr6:coauthVersionMax="47" xr10:uidLastSave="{00000000-0000-0000-0000-000000000000}"/>
  <bookViews>
    <workbookView xWindow="-11490" yWindow="-21720" windowWidth="51840" windowHeight="21120" tabRatio="500" activeTab="5" xr2:uid="{00000000-000D-0000-FFFF-FFFF00000000}"/>
  </bookViews>
  <sheets>
    <sheet name="Vejledning" sheetId="1" r:id="rId1"/>
    <sheet name="Risikovurdering" sheetId="2" r:id="rId2"/>
    <sheet name="Risikomatrix" sheetId="3" r:id="rId3"/>
    <sheet name="Trusselskatalog" sheetId="4" r:id="rId4"/>
    <sheet name="Eksempel - Politik" sheetId="5" r:id="rId5"/>
    <sheet name="Eksempel - Risikovurdering" sheetId="6" r:id="rId6"/>
  </sheets>
  <definedNames>
    <definedName name="_xlnm.Print_Titles" localSheetId="5">'Eksempel - Risikovurdering'!$5:$6</definedName>
    <definedName name="_xlnm.Print_Titles" localSheetId="1">Risikovurdering!$5:$6</definedName>
    <definedName name="_xlnm.Print_Titles" localSheetId="3">Trusselskatalog!$4:$4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7" i="6" l="1"/>
  <c r="I37" i="6"/>
  <c r="J37" i="6" s="1"/>
  <c r="P36" i="6"/>
  <c r="I36" i="6"/>
  <c r="J36" i="6" s="1"/>
  <c r="P35" i="6"/>
  <c r="I35" i="6"/>
  <c r="J35" i="6" s="1"/>
  <c r="P34" i="6"/>
  <c r="I34" i="6"/>
  <c r="J34" i="6" s="1"/>
  <c r="P32" i="6"/>
  <c r="I32" i="6"/>
  <c r="J32" i="6" s="1"/>
  <c r="P31" i="6"/>
  <c r="J31" i="6"/>
  <c r="I31" i="6"/>
  <c r="P30" i="6"/>
  <c r="J30" i="6"/>
  <c r="I30" i="6"/>
  <c r="P29" i="6"/>
  <c r="I29" i="6"/>
  <c r="J29" i="6" s="1"/>
  <c r="P27" i="6"/>
  <c r="I27" i="6"/>
  <c r="G24" i="3" s="1"/>
  <c r="P26" i="6"/>
  <c r="J26" i="6"/>
  <c r="I26" i="6"/>
  <c r="P25" i="6"/>
  <c r="I25" i="6"/>
  <c r="J25" i="6" s="1"/>
  <c r="P24" i="6"/>
  <c r="I24" i="6"/>
  <c r="J24" i="6" s="1"/>
  <c r="P22" i="6"/>
  <c r="J22" i="6"/>
  <c r="I22" i="6"/>
  <c r="P21" i="6"/>
  <c r="I21" i="6"/>
  <c r="J21" i="6" s="1"/>
  <c r="P20" i="6"/>
  <c r="I20" i="6"/>
  <c r="J20" i="6" s="1"/>
  <c r="P19" i="6"/>
  <c r="I19" i="6"/>
  <c r="J19" i="6" s="1"/>
  <c r="P17" i="6"/>
  <c r="J17" i="6"/>
  <c r="I17" i="6"/>
  <c r="P16" i="6"/>
  <c r="I16" i="6"/>
  <c r="J16" i="6" s="1"/>
  <c r="P15" i="6"/>
  <c r="J15" i="6"/>
  <c r="I15" i="6"/>
  <c r="P14" i="6"/>
  <c r="J14" i="6"/>
  <c r="I14" i="6"/>
  <c r="P12" i="6"/>
  <c r="J12" i="6"/>
  <c r="I12" i="6"/>
  <c r="P11" i="6"/>
  <c r="I11" i="6"/>
  <c r="J11" i="6" s="1"/>
  <c r="P10" i="6"/>
  <c r="I10" i="6"/>
  <c r="G27" i="3" s="1"/>
  <c r="P9" i="6"/>
  <c r="J9" i="6"/>
  <c r="I9" i="6"/>
  <c r="P8" i="6"/>
  <c r="I8" i="6"/>
  <c r="J8" i="6" s="1"/>
  <c r="J27" i="3"/>
  <c r="M26" i="3"/>
  <c r="L26" i="3"/>
  <c r="K26" i="3"/>
  <c r="J26" i="3"/>
  <c r="H26" i="3"/>
  <c r="G26" i="3"/>
  <c r="F26" i="3"/>
  <c r="E26" i="3"/>
  <c r="M25" i="3"/>
  <c r="L25" i="3"/>
  <c r="K25" i="3"/>
  <c r="J25" i="3"/>
  <c r="H25" i="3"/>
  <c r="G25" i="3"/>
  <c r="F25" i="3"/>
  <c r="E25" i="3"/>
  <c r="M24" i="3"/>
  <c r="L24" i="3"/>
  <c r="K24" i="3"/>
  <c r="J24" i="3"/>
  <c r="H24" i="3"/>
  <c r="F24" i="3"/>
  <c r="E24" i="3"/>
  <c r="M23" i="3"/>
  <c r="L23" i="3"/>
  <c r="K23" i="3"/>
  <c r="J23" i="3"/>
  <c r="H23" i="3"/>
  <c r="G23" i="3"/>
  <c r="F23" i="3"/>
  <c r="E23" i="3"/>
  <c r="M22" i="3"/>
  <c r="L22" i="3"/>
  <c r="K22" i="3"/>
  <c r="J22" i="3"/>
  <c r="H22" i="3"/>
  <c r="G22" i="3"/>
  <c r="F22" i="3"/>
  <c r="E22" i="3"/>
  <c r="M21" i="3"/>
  <c r="M27" i="3" s="1"/>
  <c r="L21" i="3"/>
  <c r="L27" i="3" s="1"/>
  <c r="K21" i="3"/>
  <c r="K27" i="3" s="1"/>
  <c r="J21" i="3"/>
  <c r="H21" i="3"/>
  <c r="G21" i="3"/>
  <c r="F21" i="3"/>
  <c r="F27" i="3" s="1"/>
  <c r="E21" i="3"/>
  <c r="H27" i="3" s="1"/>
  <c r="H13" i="3"/>
  <c r="G13" i="3"/>
  <c r="F13" i="3"/>
  <c r="E13" i="3"/>
  <c r="D13" i="3"/>
  <c r="L12" i="3"/>
  <c r="K12" i="3"/>
  <c r="H12" i="3"/>
  <c r="G12" i="3"/>
  <c r="F12" i="3"/>
  <c r="E12" i="3"/>
  <c r="D12" i="3"/>
  <c r="L11" i="3"/>
  <c r="K11" i="3"/>
  <c r="M11" i="3" s="1"/>
  <c r="H11" i="3"/>
  <c r="G11" i="3"/>
  <c r="F11" i="3"/>
  <c r="E11" i="3"/>
  <c r="D11" i="3"/>
  <c r="M10" i="3"/>
  <c r="L10" i="3"/>
  <c r="K10" i="3"/>
  <c r="H10" i="3"/>
  <c r="G10" i="3"/>
  <c r="F10" i="3"/>
  <c r="E10" i="3"/>
  <c r="D10" i="3"/>
  <c r="L9" i="3"/>
  <c r="K9" i="3"/>
  <c r="M9" i="3" s="1"/>
  <c r="H9" i="3"/>
  <c r="G9" i="3"/>
  <c r="F9" i="3"/>
  <c r="E9" i="3"/>
  <c r="D9" i="3"/>
  <c r="P60" i="2"/>
  <c r="I60" i="2"/>
  <c r="J60" i="2" s="1"/>
  <c r="P59" i="2"/>
  <c r="I59" i="2"/>
  <c r="J59" i="2" s="1"/>
  <c r="P58" i="2"/>
  <c r="I58" i="2"/>
  <c r="J58" i="2" s="1"/>
  <c r="P57" i="2"/>
  <c r="I57" i="2"/>
  <c r="J57" i="2" s="1"/>
  <c r="P56" i="2"/>
  <c r="I56" i="2"/>
  <c r="J56" i="2" s="1"/>
  <c r="P55" i="2"/>
  <c r="I55" i="2"/>
  <c r="J55" i="2" s="1"/>
  <c r="P54" i="2"/>
  <c r="I54" i="2"/>
  <c r="J54" i="2" s="1"/>
  <c r="P53" i="2"/>
  <c r="I53" i="2"/>
  <c r="J53" i="2" s="1"/>
  <c r="P51" i="2"/>
  <c r="I51" i="2"/>
  <c r="J51" i="2" s="1"/>
  <c r="P50" i="2"/>
  <c r="J50" i="2"/>
  <c r="I50" i="2"/>
  <c r="P49" i="2"/>
  <c r="I49" i="2"/>
  <c r="J49" i="2" s="1"/>
  <c r="P48" i="2"/>
  <c r="J48" i="2"/>
  <c r="I48" i="2"/>
  <c r="P47" i="2"/>
  <c r="I47" i="2"/>
  <c r="J47" i="2" s="1"/>
  <c r="P46" i="2"/>
  <c r="J46" i="2"/>
  <c r="I46" i="2"/>
  <c r="P45" i="2"/>
  <c r="I45" i="2"/>
  <c r="J45" i="2" s="1"/>
  <c r="P44" i="2"/>
  <c r="I44" i="2"/>
  <c r="J44" i="2" s="1"/>
  <c r="P42" i="2"/>
  <c r="I42" i="2"/>
  <c r="J42" i="2" s="1"/>
  <c r="P41" i="2"/>
  <c r="I41" i="2"/>
  <c r="J41" i="2" s="1"/>
  <c r="P40" i="2"/>
  <c r="I40" i="2"/>
  <c r="J40" i="2" s="1"/>
  <c r="P39" i="2"/>
  <c r="I39" i="2"/>
  <c r="J39" i="2" s="1"/>
  <c r="P38" i="2"/>
  <c r="I38" i="2"/>
  <c r="J38" i="2" s="1"/>
  <c r="P37" i="2"/>
  <c r="I37" i="2"/>
  <c r="J37" i="2" s="1"/>
  <c r="P36" i="2"/>
  <c r="I36" i="2"/>
  <c r="J36" i="2" s="1"/>
  <c r="P35" i="2"/>
  <c r="J35" i="2"/>
  <c r="I35" i="2"/>
  <c r="P33" i="2"/>
  <c r="I33" i="2"/>
  <c r="J33" i="2" s="1"/>
  <c r="P32" i="2"/>
  <c r="J32" i="2"/>
  <c r="I32" i="2"/>
  <c r="P31" i="2"/>
  <c r="I31" i="2"/>
  <c r="J31" i="2" s="1"/>
  <c r="P30" i="2"/>
  <c r="J30" i="2"/>
  <c r="I30" i="2"/>
  <c r="P29" i="2"/>
  <c r="I29" i="2"/>
  <c r="J29" i="2" s="1"/>
  <c r="P28" i="2"/>
  <c r="I28" i="2"/>
  <c r="J28" i="2" s="1"/>
  <c r="P27" i="2"/>
  <c r="I27" i="2"/>
  <c r="J27" i="2" s="1"/>
  <c r="P26" i="2"/>
  <c r="I26" i="2"/>
  <c r="J26" i="2" s="1"/>
  <c r="P24" i="2"/>
  <c r="I24" i="2"/>
  <c r="J24" i="2" s="1"/>
  <c r="P23" i="2"/>
  <c r="I23" i="2"/>
  <c r="J23" i="2" s="1"/>
  <c r="P22" i="2"/>
  <c r="I22" i="2"/>
  <c r="J22" i="2" s="1"/>
  <c r="P21" i="2"/>
  <c r="I21" i="2"/>
  <c r="J21" i="2" s="1"/>
  <c r="P20" i="2"/>
  <c r="I20" i="2"/>
  <c r="J20" i="2" s="1"/>
  <c r="P19" i="2"/>
  <c r="J19" i="2"/>
  <c r="I19" i="2"/>
  <c r="P18" i="2"/>
  <c r="I18" i="2"/>
  <c r="J18" i="2" s="1"/>
  <c r="P17" i="2"/>
  <c r="J17" i="2"/>
  <c r="I17" i="2"/>
  <c r="P15" i="2"/>
  <c r="I15" i="2"/>
  <c r="J15" i="2" s="1"/>
  <c r="P14" i="2"/>
  <c r="J14" i="2"/>
  <c r="I14" i="2"/>
  <c r="P13" i="2"/>
  <c r="I13" i="2"/>
  <c r="J13" i="2" s="1"/>
  <c r="P12" i="2"/>
  <c r="I12" i="2"/>
  <c r="J12" i="2" s="1"/>
  <c r="P11" i="2"/>
  <c r="I11" i="2"/>
  <c r="J11" i="2" s="1"/>
  <c r="P10" i="2"/>
  <c r="I10" i="2"/>
  <c r="J10" i="2" s="1"/>
  <c r="P9" i="2"/>
  <c r="I9" i="2"/>
  <c r="J9" i="2" s="1"/>
  <c r="P8" i="2"/>
  <c r="I8" i="2"/>
  <c r="J8" i="2" s="1"/>
  <c r="E27" i="3" l="1"/>
  <c r="J10" i="6"/>
  <c r="J2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100-000001000000}">
      <text>
        <r>
          <rPr>
            <sz val="10"/>
            <rFont val="Arial"/>
            <family val="2"/>
          </rPr>
          <t>Trussel:
Potentiel årsag til en sikkerhedshændelse, som kan medføre skade på et system eller en organisation.
Sårbarhed:
Svaghed ved et aktiv eller en foranstaltning, som kan udnyttes, så der opstår en hændelse med negativ konsekvens.
Tip: Brug trussel-ID fra fanen "Trusselskatalog".</t>
        </r>
      </text>
    </comment>
    <comment ref="C6" authorId="0" shapeId="0" xr:uid="{00000000-0006-0000-0100-000002000000}">
      <text>
        <r>
          <rPr>
            <sz val="10"/>
            <rFont val="Arial"/>
            <family val="2"/>
          </rPr>
          <t>Risikoejer:
• Ansvarlig for specifikke risikoområder
• Godkender risikovurderinger for sit område
• Beslutter risikohåndtering inden for sit område
• Rapporterer til ledelsen</t>
        </r>
      </text>
    </comment>
    <comment ref="E6" authorId="0" shapeId="0" xr:uid="{00000000-0006-0000-0100-000003000000}">
      <text>
        <r>
          <rPr>
            <sz val="10"/>
            <rFont val="Arial"/>
            <family val="2"/>
          </rPr>
          <t>SANDSYNLIGHED inden for et år
1 = Usandsynlig
2 = Ret usandsynlig
3 = Sandsynlig
4 = Meget sandsynlig
5 = Næsten sikker
Se fanen "Vejledning" for definitioner.</t>
        </r>
      </text>
    </comment>
    <comment ref="G6" authorId="0" shapeId="0" xr:uid="{00000000-0006-0000-0100-000004000000}">
      <text>
        <r>
          <rPr>
            <sz val="10"/>
            <rFont val="Arial"/>
            <family val="2"/>
          </rPr>
          <t>KONSEKVENS hvis risikoen indtræffer
1 = Ubetydelig
2 = Lille
3 = Moderat
4 = Alvorlig
5 = Katastrofal</t>
        </r>
      </text>
    </comment>
    <comment ref="H6" authorId="0" shapeId="0" xr:uid="{00000000-0006-0000-0100-000005000000}">
      <text>
        <r>
          <rPr>
            <sz val="10"/>
            <rFont val="Arial"/>
            <family val="2"/>
          </rPr>
          <t>Begrund konsekvens-scoren konkret. Overvej påvirkning af:
- Forretningskritiske processer og drift
- Datatab eller kompromittering af fortrolige oplysninger
- Økonomiske tab (direkte og indirekte)
- Omdømme og kundetillid
- Juridiske og regulatoriske konsekvenser (f.eks. GDPR)
- Sikkerhed for personer eller samfund (jf. NIS2)
Eksempel: "Kan resultere i driftsstop i 2-5 dage, der påvirker alle kundeleverancer. Estimeret tab 0,5-1 mio. kr. samt omdømmeskade og anmeldelse til Datatilsynet."</t>
        </r>
      </text>
    </comment>
    <comment ref="I6" authorId="0" shapeId="0" xr:uid="{00000000-0006-0000-0100-000006000000}">
      <text>
        <r>
          <rPr>
            <sz val="10"/>
            <rFont val="Arial"/>
            <family val="2"/>
          </rPr>
          <t>Beregnes automatisk: sandsynlighed × konsekvens.
Lav 1-4 · Middel 5-9 · Høj 10-25</t>
        </r>
      </text>
    </comment>
    <comment ref="K6" authorId="0" shapeId="0" xr:uid="{00000000-0006-0000-0100-000007000000}">
      <text>
        <r>
          <rPr>
            <sz val="10"/>
            <rFont val="Arial"/>
            <family val="2"/>
          </rPr>
          <t>VURDERINGENS VALIDITET
1 = Lav: "Guesstimate" – bedste bud ud fra de foreliggende informationer.
2 = Middel: "Bedste medarbejders bedste bud" – ud fra enhedens samlede viden og erfaring.
3 = Høj: Konkret dokumentation for sandsynlighed og konsekvens foreligger.</t>
        </r>
      </text>
    </comment>
    <comment ref="M6" authorId="0" shapeId="0" xr:uid="{00000000-0006-0000-0100-000008000000}">
      <text>
        <r>
          <rPr>
            <sz val="10"/>
            <rFont val="Arial"/>
            <family val="2"/>
          </rPr>
          <t>Dokumentér de foranstaltninger, der allerede er implementeret:
- Tekniske (f.eks. firewall, EDR, kryptering)
- Organisatoriske (politikker, procedurer, ansvarsfordeling)
- Kompetenceudvikling (awareness-træning)
- Overvågning og monitorering
Vær specifik – undgå generelle udsagn som "god sikkerhed".</t>
        </r>
      </text>
    </comment>
    <comment ref="N6" authorId="0" shapeId="0" xr:uid="{00000000-0006-0000-0100-000009000000}">
      <text>
        <r>
          <rPr>
            <sz val="10"/>
            <rFont val="Arial"/>
            <family val="2"/>
          </rPr>
          <t>Den person eller funktion, der er ansvarlig for at implementere de planlagte foranstaltninger.</t>
        </r>
      </text>
    </comment>
    <comment ref="O6" authorId="0" shapeId="0" xr:uid="{00000000-0006-0000-0100-00000A000000}">
      <text>
        <r>
          <rPr>
            <sz val="10"/>
            <rFont val="Arial"/>
            <family val="2"/>
          </rPr>
          <t>Restrisiko (1-25):
Den risiko, der er tilbage, når foranstaltningerne er implementeret – det niveau, organisationen accepterer eller ikke fuldt ud kan eliminere inden for de givne rammer.</t>
        </r>
      </text>
    </comment>
    <comment ref="R6" authorId="0" shapeId="0" xr:uid="{00000000-0006-0000-0100-00000B000000}">
      <text>
        <r>
          <rPr>
            <sz val="10"/>
            <rFont val="Arial"/>
            <family val="2"/>
          </rPr>
          <t>Foranstaltninger, der planlægges implementeret inden for de næste 12 måneder:
- Beskriv konkrete nye eller supplerende tiltag
- Angiv realistiske tidsrammer
- Prioritér de væsentligste huller
Eksempel: "Obligatorisk phishing-træning for alle medarbejdere i Q3 med kvartalsvise simuleringer."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500-000001000000}">
      <text>
        <r>
          <rPr>
            <sz val="10"/>
            <rFont val="Arial"/>
            <family val="2"/>
          </rPr>
          <t>Trussel:
Potentiel årsag til en sikkerhedshændelse, som kan medføre skade på et system eller en organisation.
Sårbarhed:
Svaghed ved et aktiv eller en foranstaltning, som kan udnyttes, så der opstår en hændelse med negativ konsekvens.
Tip: Brug trussel-ID fra fanen "Trusselskatalog".</t>
        </r>
      </text>
    </comment>
    <comment ref="C6" authorId="0" shapeId="0" xr:uid="{00000000-0006-0000-0500-000002000000}">
      <text>
        <r>
          <rPr>
            <sz val="10"/>
            <rFont val="Arial"/>
            <family val="2"/>
          </rPr>
          <t>Risikoejer:
• Ansvarlig for specifikke risikoområder
• Godkender risikovurderinger for sit område
• Beslutter risikohåndtering inden for sit område
• Rapporterer til ledelsen</t>
        </r>
      </text>
    </comment>
    <comment ref="E6" authorId="0" shapeId="0" xr:uid="{00000000-0006-0000-0500-000003000000}">
      <text>
        <r>
          <rPr>
            <sz val="10"/>
            <rFont val="Arial"/>
            <family val="2"/>
          </rPr>
          <t>SANDSYNLIGHED inden for et år
1 = Usandsynlig
2 = Ret usandsynlig
3 = Sandsynlig
4 = Meget sandsynlig
5 = Næsten sikker
Se fanen "Vejledning" for definitioner.</t>
        </r>
      </text>
    </comment>
    <comment ref="G6" authorId="0" shapeId="0" xr:uid="{00000000-0006-0000-0500-000004000000}">
      <text>
        <r>
          <rPr>
            <sz val="10"/>
            <rFont val="Arial"/>
            <family val="2"/>
          </rPr>
          <t>KONSEKVENS hvis risikoen indtræffer
1 = Ubetydelig
2 = Lille
3 = Moderat
4 = Alvorlig
5 = Katastrofal</t>
        </r>
      </text>
    </comment>
    <comment ref="H6" authorId="0" shapeId="0" xr:uid="{00000000-0006-0000-0500-000005000000}">
      <text>
        <r>
          <rPr>
            <sz val="10"/>
            <rFont val="Arial"/>
            <family val="2"/>
          </rPr>
          <t>Begrund konsekvens-scoren konkret. Overvej påvirkning af:
- Forretningskritiske processer og drift
- Datatab eller kompromittering af fortrolige oplysninger
- Økonomiske tab (direkte og indirekte)
- Omdømme og kundetillid
- Juridiske og regulatoriske konsekvenser (f.eks. GDPR)
- Sikkerhed for personer eller samfund (jf. NIS2)
Eksempel: "Kan resultere i driftsstop i 2-5 dage, der påvirker alle kundeleverancer. Estimeret tab 0,5-1 mio. kr. samt omdømmeskade og anmeldelse til Datatilsynet."</t>
        </r>
      </text>
    </comment>
    <comment ref="I6" authorId="0" shapeId="0" xr:uid="{00000000-0006-0000-0500-000006000000}">
      <text>
        <r>
          <rPr>
            <sz val="10"/>
            <rFont val="Arial"/>
            <family val="2"/>
          </rPr>
          <t>Beregnes automatisk: sandsynlighed × konsekvens.
Lav 1-4 · Middel 5-9 · Høj 10-25</t>
        </r>
      </text>
    </comment>
    <comment ref="K6" authorId="0" shapeId="0" xr:uid="{00000000-0006-0000-0500-000007000000}">
      <text>
        <r>
          <rPr>
            <sz val="10"/>
            <rFont val="Arial"/>
            <family val="2"/>
          </rPr>
          <t>VURDERINGENS VALIDITET
1 = Lav: "Guesstimate" – bedste bud ud fra de foreliggende informationer.
2 = Middel: "Bedste medarbejders bedste bud" – ud fra enhedens samlede viden og erfaring.
3 = Høj: Konkret dokumentation for sandsynlighed og konsekvens foreligger.</t>
        </r>
      </text>
    </comment>
    <comment ref="M6" authorId="0" shapeId="0" xr:uid="{00000000-0006-0000-0500-000008000000}">
      <text>
        <r>
          <rPr>
            <sz val="10"/>
            <rFont val="Arial"/>
            <family val="2"/>
          </rPr>
          <t>Dokumentér de foranstaltninger, der allerede er implementeret:
- Tekniske (f.eks. firewall, EDR, kryptering)
- Organisatoriske (politikker, procedurer, ansvarsfordeling)
- Kompetenceudvikling (awareness-træning)
- Overvågning og monitorering
Vær specifik – undgå generelle udsagn som "god sikkerhed".</t>
        </r>
      </text>
    </comment>
    <comment ref="N6" authorId="0" shapeId="0" xr:uid="{00000000-0006-0000-0500-000009000000}">
      <text>
        <r>
          <rPr>
            <sz val="10"/>
            <rFont val="Arial"/>
            <family val="2"/>
          </rPr>
          <t>Den person eller funktion, der er ansvarlig for at implementere de planlagte foranstaltninger.</t>
        </r>
      </text>
    </comment>
    <comment ref="O6" authorId="0" shapeId="0" xr:uid="{00000000-0006-0000-0500-00000A000000}">
      <text>
        <r>
          <rPr>
            <sz val="10"/>
            <rFont val="Arial"/>
            <family val="2"/>
          </rPr>
          <t>Restrisiko (1-25):
Den risiko, der er tilbage, når foranstaltningerne er implementeret – det niveau, organisationen accepterer eller ikke fuldt ud kan eliminere inden for de givne rammer.</t>
        </r>
      </text>
    </comment>
    <comment ref="R6" authorId="0" shapeId="0" xr:uid="{00000000-0006-0000-0500-00000B000000}">
      <text>
        <r>
          <rPr>
            <sz val="10"/>
            <rFont val="Arial"/>
            <family val="2"/>
          </rPr>
          <t>Foranstaltninger, der planlægges implementeret inden for de næste 12 måneder:
- Beskriv konkrete nye eller supplerende tiltag
- Angiv realistiske tidsrammer
- Prioritér de væsentligste huller
Eksempel: "Obligatorisk phishing-træning for alle medarbejdere i Q3 med kvartalsvise simuleringer."</t>
        </r>
      </text>
    </comment>
  </commentList>
</comments>
</file>

<file path=xl/sharedStrings.xml><?xml version="1.0" encoding="utf-8"?>
<sst xmlns="http://schemas.openxmlformats.org/spreadsheetml/2006/main" count="742" uniqueCount="581">
  <si>
    <t>NIS2 Risikovurdering og risikostyring</t>
  </si>
  <si>
    <t>Skabelon til systematisk risikovurdering efter NIS2-lovens § 6, stk. 1, nr. 1  ·  Udviklet af Kasper Mensink</t>
  </si>
  <si>
    <t>OM VÆRKTØJET</t>
  </si>
  <si>
    <t>Skabelonen understøtter enheder omfattet af NIS2-loven (Lov om foranstaltninger til sikring af et højt cybersikkerhedsniveau) i at gennemføre og dokumentere en systematisk risikovurdering. Den er sektorneutral og kan tilpasses enhver organisation.
Med skabelonen kan I:
•  Gennemføre en struktureret risikovurdering af jeres net- og informationssystemer
•  Dokumentere risikostyringen i overensstemmelse med NIS2
•  Identificere og prioritere de foranstaltninger, I skal implementere
•  Skabe grundlag for ledelsens godkendelse af risikovurdering, risikohåndtering og restrisici</t>
  </si>
  <si>
    <t>PROCESSEN</t>
  </si>
  <si>
    <t>→</t>
  </si>
  <si>
    <t>1   Lav en risikostyringspolitik</t>
  </si>
  <si>
    <t>2   Gennemfør risikovurderingen</t>
  </si>
  <si>
    <t>3   Godkend hos ledelsen</t>
  </si>
  <si>
    <t>4   Implementér og følg op</t>
  </si>
  <si>
    <t>5   Genbesøg</t>
  </si>
  <si>
    <t>Fastlæg rammer, kriterier og roller.</t>
  </si>
  <si>
    <t>Vurdér sandsynlighed, konsekvens og validitet.</t>
  </si>
  <si>
    <t>Ledelsesorganet godkender resultat og restrisici.</t>
  </si>
  <si>
    <t>Gennemfør foranstaltninger og følg fremdriften.</t>
  </si>
  <si>
    <t>Revurdér mindst årligt og ved væsentlige ændringer.</t>
  </si>
  <si>
    <t>SÅDAN BRUGER I SKABELONEN</t>
  </si>
  <si>
    <t>1</t>
  </si>
  <si>
    <t>Læs og tilpas risikostyringspolitikken</t>
  </si>
  <si>
    <t>Tag udgangspunkt i fanen "Eksempel - Politik" og tilpas den til jeres organisation. Resultatet af risikovurderingen, den planlagte risikohåndtering og niveauet af de tilbageværende risici skal accepteres af risikoejeren, primært i relation til samfundsrisici, med passende rapportering til enhedens ledelsesorgan.</t>
  </si>
  <si>
    <t>2</t>
  </si>
  <si>
    <t>Gennemfør risikovurderingen</t>
  </si>
  <si>
    <t>Udfyld fanen "Risikovurdering". Gennemgå hver risikokategori, vurdér sandsynlighed (1-5) og konsekvens (1-5), dokumentér begrundelserne, angiv vurderingens validitet (1-3), beskriv eksisterende og planlagte foranstaltninger, og udpeg ansvarlige. Brug gerne trussel-ID'er fra fanen "Trusselskatalog".</t>
  </si>
  <si>
    <t>3</t>
  </si>
  <si>
    <t>Godkend hos ledelsen</t>
  </si>
  <si>
    <t>Præsentér resultatet og risikohåndteringsplanen for ledelsesorganet, og få det godkendt formelt, f.eks. med underskrift. Fanen "Risikomatrix" giver et samlet overblik til ledelsesrapporteringen.</t>
  </si>
  <si>
    <t>4</t>
  </si>
  <si>
    <t>Implementér og følg op</t>
  </si>
  <si>
    <t>Implementér de planlagte foranstaltninger, overvåg fremdriften, revurdér risici ved relevante ændringer, opdatér dokumentationen løbende og rapportér til ledelsen.</t>
  </si>
  <si>
    <t>5</t>
  </si>
  <si>
    <t>Genbesøg</t>
  </si>
  <si>
    <t>Politik og risikovurdering er levende dokumenter. De skal revideres mindst én gang årligt og opdateres ved væsentlige ændringer i forretning, trusselsbillede eller sårbarheder.</t>
  </si>
  <si>
    <t>Vigtigt: Aktiver, risici og vurderinger i eksempelfanerne er vejledende og beskriver en fiktiv virksomhed. Virksomheden skal altid tilpasse dem, så de afspejler egen organisation, it-miljø, forretningsmodel, trusselsbillede og modenhedsniveau.</t>
  </si>
  <si>
    <t>FANER I PROJEKTMAPPEN</t>
  </si>
  <si>
    <t>Vejledning</t>
  </si>
  <si>
    <t>Formål, proces, skalaer og definitioner.</t>
  </si>
  <si>
    <t>Risikovurdering</t>
  </si>
  <si>
    <t>Skabelonen, der udfyldes. Hvide felter er inputfelter; grå felter beregnes automatisk.</t>
  </si>
  <si>
    <t>Risikomatrix</t>
  </si>
  <si>
    <t>Samlet overblik: 5×5 risikomatrix, fordeling på risikoniveau før og efter foranstaltninger og nøgletal pr. kategori. Vælg i fanen, om overblikket skal vise jeres egen vurdering eller eksemplet.</t>
  </si>
  <si>
    <t>Trusselskatalog</t>
  </si>
  <si>
    <t>Forslag til trusler og sårbarheder fordelt på de seks risikokategorier, med trussel-ID.</t>
  </si>
  <si>
    <t>Eksempel - Politik</t>
  </si>
  <si>
    <t>Eksempel på en politik for risikostyring, der kan tilpasses.</t>
  </si>
  <si>
    <t>Eksempel - Risikovurdering</t>
  </si>
  <si>
    <t>Udfyldt eksempel for en fiktiv mellemstor virksomhed, der viser det forventede detaljeniveau.</t>
  </si>
  <si>
    <t>DE 10 FORANSTALTNINGER I NIS2-LOVENS § 6, STK. 1</t>
  </si>
  <si>
    <t>Nr.</t>
  </si>
  <si>
    <t>Foranstaltning</t>
  </si>
  <si>
    <t>Beskrivelse</t>
  </si>
  <si>
    <t>Politik for risikoanalyse og informationssystemsikkerhed</t>
  </si>
  <si>
    <t>Etablér politikker for at identificere, analysere og håndtere risici. Gennemfør regelmæssige risikovurderinger.</t>
  </si>
  <si>
    <t>Håndtering af hændelser</t>
  </si>
  <si>
    <t>Etablér procedurer for at opdage, rapportere og håndtere sikkerhedshændelser. Implementér logging og monitorering.</t>
  </si>
  <si>
    <t>Driftskontinuitet</t>
  </si>
  <si>
    <t>Sikr backup, redundans og evne til at gendanne drift efter hændelser. Udarbejd krisestyringsplaner.</t>
  </si>
  <si>
    <t>Forsyningskædesikkerhed</t>
  </si>
  <si>
    <t>Vurdér og håndter cybersikkerhedsrisici fra leverandører og tjenesteudbydere.</t>
  </si>
  <si>
    <t>Sikkerhed ved erhvervelse, udvikling og vedligeholdelse</t>
  </si>
  <si>
    <t>Sikr sikkerhed gennem hele livscyklus for systemer. Håndtér sårbarheder systematisk.</t>
  </si>
  <si>
    <t>Vurdering af effektivitet</t>
  </si>
  <si>
    <t>Evaluér regelmæssigt om foranstaltningerne er tilstrækkelige og effektive.</t>
  </si>
  <si>
    <t>Cyberhygiejne og uddannelse</t>
  </si>
  <si>
    <t>Træn medarbejdere i cybersikkerhed og etablér god sikkerhedspraksis.</t>
  </si>
  <si>
    <t>Kryptografi og kryptering</t>
  </si>
  <si>
    <t>Anvend kryptering til at beskytte fortrolige data hvor relevant.</t>
  </si>
  <si>
    <t>Personalesikkerhed og adgangskontrol</t>
  </si>
  <si>
    <t>Kontrollér adgang til systemer og data. Forvalt brugerrettigheder og assets.</t>
  </si>
  <si>
    <t>Autentificering og sikker kommunikation</t>
  </si>
  <si>
    <t>Implementér multifaktorautentificering og sikre kommunikationskanaler.</t>
  </si>
  <si>
    <t>SANDSYNLIGHED – HVOR SANDSYNLIGT ER DET, AT RISIKOEN INDTRÆFFER INDEN FOR ET ÅR?</t>
  </si>
  <si>
    <t>Usandsynlig</t>
  </si>
  <si>
    <t>Risikokilden har meget lille sandsynlighed for at nå sit mål ved at anvende en af de identificerede trusler/sårbarheder.</t>
  </si>
  <si>
    <t>Ret usandsynlig</t>
  </si>
  <si>
    <t>Risikokilden har relativt lille sandsynlighed for at nå sit mål ved at anvende en af de identificerede trusler/sårbarheder.</t>
  </si>
  <si>
    <t>Sandsynlig</t>
  </si>
  <si>
    <t>Risikokilden er i stand til at nå sit mål ved at anvende en af de identificerede trusler/sårbarheder.</t>
  </si>
  <si>
    <t>Meget sandsynlig</t>
  </si>
  <si>
    <t>Risikokilden vil sandsynligvis nå sit mål ved at anvende en af de identificerede trusler/sårbarheder.</t>
  </si>
  <si>
    <t>Næsten sikker</t>
  </si>
  <si>
    <t>Risikokilden vil med stor sikkerhed nå sit mål ved at anvende en af de identificerede trusler/sårbarheder.</t>
  </si>
  <si>
    <t>KONSEKVENS – HVOR ALVORLIG ER KONSEKVENSEN, HVIS RISIKOEN INDTRÆFFER?</t>
  </si>
  <si>
    <t>Ubetydelig</t>
  </si>
  <si>
    <t>Minimal påvirkning.</t>
  </si>
  <si>
    <t>Lille</t>
  </si>
  <si>
    <t>Begrænset påvirkning, ingen væsentlig skade.</t>
  </si>
  <si>
    <t>Moderat</t>
  </si>
  <si>
    <t>Mærkbar påvirkning, håndterbar skade.</t>
  </si>
  <si>
    <t>Alvorlig</t>
  </si>
  <si>
    <t>Betydelig påvirkning, stor skade.</t>
  </si>
  <si>
    <t>Katastrofal</t>
  </si>
  <si>
    <t>Kritisk påvirkning, eksistentiel trussel for organisationen eller alvorlige samfundsmæssige følger.</t>
  </si>
  <si>
    <t>VALIDITET – HVOR SIKKERT ER VURDERINGEN UNDERBYGGET?</t>
  </si>
  <si>
    <t>Lav</t>
  </si>
  <si>
    <t>"Guesstimate": bedste bud ud fra de foreliggende informationer.</t>
  </si>
  <si>
    <t>Middel</t>
  </si>
  <si>
    <t>"Bedste medarbejders bedste bud": vurderet ud fra enhedens samlede viden og erfaring.</t>
  </si>
  <si>
    <t>Høj</t>
  </si>
  <si>
    <t>Konkret dokumentation for sandsynlighed og konsekvens foreligger, f.eks. tests, scanninger, hændelsesdata eller ekstern vurdering.</t>
  </si>
  <si>
    <t>RISIKONIVEAU – RISIKOSCORE = SANDSYNLIGHED × KONSEKVENS (1-25)</t>
  </si>
  <si>
    <t>1-4</t>
  </si>
  <si>
    <t>Kan som udgangspunkt accepteres af risikoejeren. Følges ved den årlige revurdering.</t>
  </si>
  <si>
    <t>5-9</t>
  </si>
  <si>
    <t>Håndteres med foranstaltninger inden for en planlagt periode. Accept af restrisiko begrundes og dokumenteres.</t>
  </si>
  <si>
    <t>10-25</t>
  </si>
  <si>
    <t>Kræver handling og ledelsens opmærksomhed. Restrisikoen skal godkendes af ledelsesorganet.</t>
  </si>
  <si>
    <t>BEGREBER</t>
  </si>
  <si>
    <t>Trussel</t>
  </si>
  <si>
    <t>Potentiel årsag til en sikkerhedshændelse, som kan medføre skade på et system eller en organisation.</t>
  </si>
  <si>
    <t>Cybertrussel</t>
  </si>
  <si>
    <t>Enhver potentiel omstændighed, begivenhed eller handling, som kan skade net- og informationssystemer.</t>
  </si>
  <si>
    <t>Sårbarhed</t>
  </si>
  <si>
    <t>En svaghed ved et aktiv, et it-produkt, en tjeneste eller en foranstaltning, som kan udnyttes af en trussel.</t>
  </si>
  <si>
    <t>Risikoejer</t>
  </si>
  <si>
    <t>Person eller enhed med ansvar og myndighed til at styre en specifik risiko.</t>
  </si>
  <si>
    <t>Restrisiko</t>
  </si>
  <si>
    <t>Den risiko, der er tilbage, når foranstaltninger er implementeret. Angives som score fra 1-25.</t>
  </si>
  <si>
    <t>NYTTIGE LINKS</t>
  </si>
  <si>
    <t>SAMSIK – vejledning om cybersikkerhedsforanstaltninger</t>
  </si>
  <si>
    <t>https://samsik.dk/wp-content/uploads/2025/08/Vejledning-til-implementering-af-cybersikkerhedsforanstaltninger.pdf</t>
  </si>
  <si>
    <t>SAMSIK – information om NIS2</t>
  </si>
  <si>
    <t>https://samsik.dk/nis2/</t>
  </si>
  <si>
    <t>NIS2-tjek – er I omfattet?</t>
  </si>
  <si>
    <t>https://www.nis2tjek.dk/</t>
  </si>
  <si>
    <t>Risikovurdering og risikohåndtering</t>
  </si>
  <si>
    <t>NIS2-lovens § 6, stk. 1, nr. 1  ·  Udfyld én række pr. risiko, og tilføj rækker efter behov</t>
  </si>
  <si>
    <t>Virksomhed</t>
  </si>
  <si>
    <t>Udarbejdet af</t>
  </si>
  <si>
    <t>Dato</t>
  </si>
  <si>
    <t>Godkendt af ledelsen (navn/dato)</t>
  </si>
  <si>
    <t>Version</t>
  </si>
  <si>
    <t>Hvide felter udfyldes  ·  Grå felter beregnes automatisk</t>
  </si>
  <si>
    <t>RISIKOVURDERING</t>
  </si>
  <si>
    <t>RISIKOHÅNDTERING</t>
  </si>
  <si>
    <t>Risikoområde / aktiv</t>
  </si>
  <si>
    <t>Trussel / sårbarhed</t>
  </si>
  <si>
    <t>Beskrivelse af risiko
(hvad kan gå galt?)</t>
  </si>
  <si>
    <t>Sandsyn-
lighed (1-5)</t>
  </si>
  <si>
    <t>Begrundelse for sandsynlighed (inden for et år)</t>
  </si>
  <si>
    <t>Konse-
kvens (1-5)</t>
  </si>
  <si>
    <t>Begrundelse for konsekvens</t>
  </si>
  <si>
    <t>Risiko-
score (S×K)</t>
  </si>
  <si>
    <t>Risiko-
niveau</t>
  </si>
  <si>
    <t>Validitet
(1-3)</t>
  </si>
  <si>
    <t>Accepteres risikoen?</t>
  </si>
  <si>
    <t>Eksisterende foranstaltninger</t>
  </si>
  <si>
    <t>Ansvarlig for implementering</t>
  </si>
  <si>
    <t>Restrisiko
(1-25)</t>
  </si>
  <si>
    <t>Restrisiko-
niveau</t>
  </si>
  <si>
    <t>Accepteres restrisikoen?</t>
  </si>
  <si>
    <t>Planlagte foranstaltninger (inden for et år)</t>
  </si>
  <si>
    <t>Dokumen-
tation?</t>
  </si>
  <si>
    <t>Bemærkninger til vurdering</t>
  </si>
  <si>
    <t>1. NET- OG INFORMATIONSSYSTEMER</t>
  </si>
  <si>
    <t>2. APPLIKATIONER OG TJENESTER</t>
  </si>
  <si>
    <t>3. DATA OG INFORMATIONSAKTIVER</t>
  </si>
  <si>
    <t>4. MEDARBEJDERE OG PROCESSER</t>
  </si>
  <si>
    <t>5. FORSYNINGSKÆDE</t>
  </si>
  <si>
    <t>6. HÆNDELSER OG BEREDSKAB</t>
  </si>
  <si>
    <t>Risikomatrix og overblik</t>
  </si>
  <si>
    <t>Opdateres automatisk ud fra den valgte risikovurdering</t>
  </si>
  <si>
    <t>Vis data fra:</t>
  </si>
  <si>
    <t>Eksempel</t>
  </si>
  <si>
    <t>← vælg "Risikovurdering" for at se jeres egen vurdering</t>
  </si>
  <si>
    <t>RISIKOMATRIX – ANTAL RISICI (FØR FORANSTALTNINGER)</t>
  </si>
  <si>
    <t>FORDELING PÅ RISIKONIVEAU</t>
  </si>
  <si>
    <t>Risikoniveau</t>
  </si>
  <si>
    <t>Før</t>
  </si>
  <si>
    <t>Efter</t>
  </si>
  <si>
    <t>Ændring</t>
  </si>
  <si>
    <t>S A N D S Y N L I G H E D
↑</t>
  </si>
  <si>
    <t>5  Næsten sikker</t>
  </si>
  <si>
    <t>Høj (10-25)</t>
  </si>
  <si>
    <t>4  Meget sandsynlig</t>
  </si>
  <si>
    <t>Middel (5-9)</t>
  </si>
  <si>
    <t>3  Sandsynlig</t>
  </si>
  <si>
    <t>Lav (1-4)</t>
  </si>
  <si>
    <t>2  Ret usandsynlig</t>
  </si>
  <si>
    <t>I alt vurderet</t>
  </si>
  <si>
    <t>1  Usandsynlig</t>
  </si>
  <si>
    <t>"Før" er risikoscoren (sandsynlighed × konsekvens). "Efter" er den vurderede restrisiko, når de planlagte foranstaltninger er gennemført.</t>
  </si>
  <si>
    <t>1
Ubetydelig</t>
  </si>
  <si>
    <t>2
Lille</t>
  </si>
  <si>
    <t>3
Moderat</t>
  </si>
  <si>
    <t>4
Alvorlig</t>
  </si>
  <si>
    <t>5
Katastrofal</t>
  </si>
  <si>
    <t>K O N S E K V E N S  →</t>
  </si>
  <si>
    <t>Cellerne viser antal risici med den pågældende kombination af sandsynlighed og konsekvens. Farven angiver risikoniveauet: lav (1-4), middel (5-9) og høj (10-25).</t>
  </si>
  <si>
    <t>NØGLETAL PR. RISIKOKATEGORI</t>
  </si>
  <si>
    <t>Risikokategori</t>
  </si>
  <si>
    <t>Antal vurderet</t>
  </si>
  <si>
    <t>Antal høje</t>
  </si>
  <si>
    <t>Gns. score</t>
  </si>
  <si>
    <t>Højeste score</t>
  </si>
  <si>
    <t>Gns. restrisiko</t>
  </si>
  <si>
    <t>Høje efter</t>
  </si>
  <si>
    <t>Ikke accepteret</t>
  </si>
  <si>
    <t>Dokumentation mangler</t>
  </si>
  <si>
    <t>1. Net- og informationssystemer</t>
  </si>
  <si>
    <t>2. Applikationer og tjenester</t>
  </si>
  <si>
    <t>3. Data og informationsaktiver</t>
  </si>
  <si>
    <t>4. Medarbejdere og processer</t>
  </si>
  <si>
    <t>5. Forsyningskæde</t>
  </si>
  <si>
    <t>6. Hændelser og beredskab</t>
  </si>
  <si>
    <t>I alt</t>
  </si>
  <si>
    <t>Forslag til trusler og sårbarheder  ·  Brug trussel-ID i kolonnen "Trussel / sårbarhed" i risikovurderingen</t>
  </si>
  <si>
    <t>Trussel-ID</t>
  </si>
  <si>
    <t>T-1.1</t>
  </si>
  <si>
    <t>Uautoriseret adgang til netværk</t>
  </si>
  <si>
    <t>Angribere får adgang til organisationens interne netværk via kompromitterede credentials, VPN-sårbarheder eller fysisk adgang til netværksudstyr.</t>
  </si>
  <si>
    <t>T-1.2</t>
  </si>
  <si>
    <t>DDoS-angreb (Distributed Denial of Service)</t>
  </si>
  <si>
    <t>Overbelastning af netværksinfrastruktur eller systemer med henblik på at gøre tjenester utilgængelige.</t>
  </si>
  <si>
    <t>T-1.3</t>
  </si>
  <si>
    <t>Mand-i-midten angreb (MITM)</t>
  </si>
  <si>
    <t>Aflytning eller manipulation af netværkstrafik mellem to parter, f.eks. ved usikrede protokoller eller falske Wi-Fi-adgangspunkter.</t>
  </si>
  <si>
    <t>T-1.4</t>
  </si>
  <si>
    <t>Fejlkonfiguration af netværksudstyr</t>
  </si>
  <si>
    <t>Fejl i konfiguration af firewalls, routere eller switches medfører utilsigtet eksponering af systemer eller data.</t>
  </si>
  <si>
    <t>T-1.5</t>
  </si>
  <si>
    <t>Uautoriseret brug af trådløse netværk</t>
  </si>
  <si>
    <t>Uautoriserede enheder kobler sig på det trådløse netværk og kan tilgå interne ressourcer.</t>
  </si>
  <si>
    <t>T-1.6</t>
  </si>
  <si>
    <t>Sårbarhed i netværksprotokoller</t>
  </si>
  <si>
    <t>Kendte eller ukendte sårbarheder i netværksprotokoller (f.eks. DNS, BGP, SMB) udnyttes til angreb.</t>
  </si>
  <si>
    <t>T-1.7</t>
  </si>
  <si>
    <t>Kompromittering af cloud-infrastruktur</t>
  </si>
  <si>
    <t>Angribere opnår adgang til organisationens cloud-ressourcer via kompromitterede konti, misconfiguration eller API-sårbarheder.</t>
  </si>
  <si>
    <t>T-1.8</t>
  </si>
  <si>
    <t>Hardwarefejl i kritisk infrastruktur</t>
  </si>
  <si>
    <t>Fysisk svigt i servere, storage eller netværksudstyr forårsager nedetid og datatab.</t>
  </si>
  <si>
    <t>T-1.9</t>
  </si>
  <si>
    <t>Strømudfald og fysisk skade</t>
  </si>
  <si>
    <t>Strømudfald, brand, vandskade eller anden fysisk hændelse påvirker tilgængelighed af net- og informationssystemer.</t>
  </si>
  <si>
    <t>T-2.1</t>
  </si>
  <si>
    <t>Udnyttelse af softwaresårbarheder</t>
  </si>
  <si>
    <t>Kendte eller ukendte sårbarheder i applikationer udnyttes til at opnå uautoriseret adgang eller eksekvere kode.</t>
  </si>
  <si>
    <t>T-2.2</t>
  </si>
  <si>
    <t>SQL-injektion og webapplikationsangreb</t>
  </si>
  <si>
    <t>Angribere injicerer ondsindet kode i webapplikationers input-felter for at manipulere databaser eller omgå adgangskontrol.</t>
  </si>
  <si>
    <t>T-2.3</t>
  </si>
  <si>
    <t>Utilstrækkelig patch-management</t>
  </si>
  <si>
    <t>Manglende eller forsinket opdatering af software efterlader kendte sårbarheder åbne for udnyttelse.</t>
  </si>
  <si>
    <t>T-2.4</t>
  </si>
  <si>
    <t>Nedbrud af kritiske forretningsapplikationer</t>
  </si>
  <si>
    <t>Teknisk fejl, overbelastning eller angreb medfører at kritiske applikationer (ERP, CRM, m.fl.) er utilgængelige.</t>
  </si>
  <si>
    <t>T-2.5</t>
  </si>
  <si>
    <t>Usikker API-integration</t>
  </si>
  <si>
    <t>Dårligt sikrede API'er eksponerer følsomme data eller funktionalitet for uautoriserede parter.</t>
  </si>
  <si>
    <t>T-2.6</t>
  </si>
  <si>
    <t>Misbrug af privilegerede rettigheder i applikationer</t>
  </si>
  <si>
    <t>Brugere med for brede rettigheder misbruger disse til at tilgå eller ændre data de ikke er autoriserede til.</t>
  </si>
  <si>
    <t>T-2.7</t>
  </si>
  <si>
    <t>E-mail kompromittering (Business Email Compromise)</t>
  </si>
  <si>
    <t>Angribere overtager eller forfalsker e-mailkonti for at iværksætte svindel, phishing eller spredning af malware.</t>
  </si>
  <si>
    <t>T-2.8</t>
  </si>
  <si>
    <t>Kompromitteret autentifikationssystem</t>
  </si>
  <si>
    <t>Angreb på autentifikationsinfrastruktur (f.eks. Active Directory, SSO) medfører bred adgang til organisationens systemer.</t>
  </si>
  <si>
    <t>T-3.1</t>
  </si>
  <si>
    <t>Datatyveri / eksfiltrering</t>
  </si>
  <si>
    <t>Følsomme data stjæles og overføres til uvedkommende, f.eks. via malware, insidertrusler eller uautoriseret adgang.</t>
  </si>
  <si>
    <t>T-3.2</t>
  </si>
  <si>
    <t>Ransomware-angreb</t>
  </si>
  <si>
    <t>Ondsindet software krypterer organisationens data med henblik på afpresning om løsesum.</t>
  </si>
  <si>
    <t>T-3.3</t>
  </si>
  <si>
    <t>Uautoriseret videregivelse af fortrolige oplysninger</t>
  </si>
  <si>
    <t>Medarbejdere eller tredjeparter deler fortrolige informationer med uvedkommende, tilsigtet eller utilsigtet.</t>
  </si>
  <si>
    <t>T-3.4</t>
  </si>
  <si>
    <t>Datatab som følge af menneskelig fejl</t>
  </si>
  <si>
    <t>Data slettes, overskrives eller mistes utilsigtet pga. menneskelige fejl uden mulighed for gendannelse.</t>
  </si>
  <si>
    <t>T-3.5</t>
  </si>
  <si>
    <t>Mangelfuld backup og gendannelse</t>
  </si>
  <si>
    <t>Manglende, fejlende eller utilstrækkelig backup medfører permanent datatab ved hændelse.</t>
  </si>
  <si>
    <t>T-3.6</t>
  </si>
  <si>
    <t>Databrud i cloudlagring</t>
  </si>
  <si>
    <t>Følsomme data i cloud-opbevaring eksponeres pga. fejlkonfiguration, kompromitterede adgange eller leverandørsvigt.</t>
  </si>
  <si>
    <t>T-3.7</t>
  </si>
  <si>
    <t>Manglende kryptering af følsomme data</t>
  </si>
  <si>
    <t>Data i transit eller hvile er ikke tilstrækkeligt krypteret og kan tilgås ved aflytning eller uautoriseret adgang.</t>
  </si>
  <si>
    <t>T-3.8</t>
  </si>
  <si>
    <t>Manipulation af data (data integrity angreb)</t>
  </si>
  <si>
    <t>Angribere ændrer data i systemer eller databaser for at sabotere processer eller skabe falske informationer.</t>
  </si>
  <si>
    <t>T-4.1</t>
  </si>
  <si>
    <t>Phishing og social engineering</t>
  </si>
  <si>
    <t>Medarbejdere manipuleres via falske e-mails, telefonopkald eller beskeder til at afsløre credentials eller installere malware.</t>
  </si>
  <si>
    <t>T-4.2</t>
  </si>
  <si>
    <t>Insider-trussel (tilsigtet)</t>
  </si>
  <si>
    <t>Medarbejder, tidligere ansat eller konsulent misbruger sin adgang til at skade organisationen bevidst.</t>
  </si>
  <si>
    <t>T-4.3</t>
  </si>
  <si>
    <t>Insider-trussel (utilsigtet / uagtsomhed)</t>
  </si>
  <si>
    <t>Medarbejder forårsager sikkerhedshændelse ved uforsigtighed, f.eks. fejlsendelse af data, klik på phishing-link eller forkert konfiguration.</t>
  </si>
  <si>
    <t>T-4.4</t>
  </si>
  <si>
    <t>Utilstrækkelig sikkerhedsbevidsthed</t>
  </si>
  <si>
    <t>Manglende uddannelse og bevidsthed om cybersikkerhed medfører øget risiko for menneskelige fejl og vellykkede angreb.</t>
  </si>
  <si>
    <t>T-4.5</t>
  </si>
  <si>
    <t>Manglende adgangsstyring og offboarding</t>
  </si>
  <si>
    <t>Adgangsrettigheder opdateres ikke rettidigt ved stillingsskift eller fratrædelse, hvilket giver tidligere ansatte utilsigtet adgang.</t>
  </si>
  <si>
    <t>T-4.6</t>
  </si>
  <si>
    <t>Svage eller kompromitterede adgangskoder</t>
  </si>
  <si>
    <t>Brug af svage, genbrugte eller kompromitterede adgangskoder øger risikoen for kontoovertagelse.</t>
  </si>
  <si>
    <t>T-4.7</t>
  </si>
  <si>
    <t>Manglende overholdelse af sikkerhedsprocedurer</t>
  </si>
  <si>
    <t>Medarbejdere omgår eller ignorerer etablerede sikkerhedsprocedurer, f.eks. ved brug af shadow IT eller usikrede enheder.</t>
  </si>
  <si>
    <t>T-4.8</t>
  </si>
  <si>
    <t>Utilstrækkelig adskillelse af arbejdsopgaver</t>
  </si>
  <si>
    <t>Manglende separation of duties muliggør at én person kan udføre og godkende kritiske handlinger uden kontrol.</t>
  </si>
  <si>
    <t>T-5.1</t>
  </si>
  <si>
    <t>Kompromitteret softwareleverandør (supply chain attack)</t>
  </si>
  <si>
    <t>Angribere infiltrerer en softwareleverandørs systemer og distribuerer kompromitteret software til kunder.</t>
  </si>
  <si>
    <t>T-5.2</t>
  </si>
  <si>
    <t>Svag sikkerhed hos kritiske leverandører</t>
  </si>
  <si>
    <t>Tredjepartsleverandører med adgang til organisationens systemer har utilstrækkelige sikkerhedsforanstaltninger.</t>
  </si>
  <si>
    <t>T-5.3</t>
  </si>
  <si>
    <t>Utilstrækkelig kontraktlig sikkerhedsstyring</t>
  </si>
  <si>
    <t>Manglende sikkerhedskrav i kontrakter med leverandører medfører uklare ansvarsforhold og utilstrækkelig beskyttelse.</t>
  </si>
  <si>
    <t>T-5.4</t>
  </si>
  <si>
    <t>Svigt hos kritisk underleverandør</t>
  </si>
  <si>
    <t>En kritisk underleverandørs svigt – teknisk, operationelt eller finansielt – påvirker organisationens egne leverancer og systemer.</t>
  </si>
  <si>
    <t>T-5.5</t>
  </si>
  <si>
    <t>Kompromitteret hardware fra leverandør</t>
  </si>
  <si>
    <t>Hardware modtages med forudinstalleret malware eller bagdøre fra producent eller distributør.</t>
  </si>
  <si>
    <t>T-5.6</t>
  </si>
  <si>
    <t>Manglende overvågning af tredjepartsadgang</t>
  </si>
  <si>
    <t>Leverandørers og konsulenters adgang til systemer overvåges ikke tilstrækkeligt, hvilket muliggør misbrug.</t>
  </si>
  <si>
    <t>T-6.1</t>
  </si>
  <si>
    <t>Manglende evne til at opdage sikkerhedshændelser</t>
  </si>
  <si>
    <t>Organisationen mangler overvågningsværktøjer eller -procedurer til at opdage igangværende angreb eller brud i tide.</t>
  </si>
  <si>
    <t>T-6.2</t>
  </si>
  <si>
    <t>Forsinkelse i hændelsesrespons</t>
  </si>
  <si>
    <t>Langsom eller ineffektiv reaktion på sikkerhedshændelse forlænger skadeomfang og genopretningsperiode.</t>
  </si>
  <si>
    <t>T-6.3</t>
  </si>
  <si>
    <t>Manglende indberetning af sikkerhedshændelser</t>
  </si>
  <si>
    <t>Væsentlige hændelser underrettes ikke til de relevante myndigheder inden for NIS2-lovens frister.</t>
  </si>
  <si>
    <t>T-6.4</t>
  </si>
  <si>
    <t>Utilstrækkelig beredskabs- og genopretningsplan</t>
  </si>
  <si>
    <t>Manglende eller utestet beredskabsplan medfører kaotisk og ineffektiv håndtering af alvorlige hændelser.</t>
  </si>
  <si>
    <t>T-6.5</t>
  </si>
  <si>
    <t>Tab af kritiske systemer uden mulighed for genopretning</t>
  </si>
  <si>
    <t>Alvorlig hændelse (brand, ransomware, m.fl.) ødelægger systemer som ikke kan genoprettes inden for acceptabelt tidsrum.</t>
  </si>
  <si>
    <t>T-6.6</t>
  </si>
  <si>
    <t>Manglende krisekommunikation og koordinering</t>
  </si>
  <si>
    <t>Under en hændelse mangler organisationen klare kommunikationskanaler internt og eksternt, hvilket forsinker afhjælpning.</t>
  </si>
  <si>
    <t>T-6.7</t>
  </si>
  <si>
    <t>Utilstrækkelig logging og auditspor</t>
  </si>
  <si>
    <t>Mangelfuld logging af systemhændelser besværliggør efterforskning af sikkerhedshændelser og opfyldelse af dokumentationskrav.</t>
  </si>
  <si>
    <t>T-6.8</t>
  </si>
  <si>
    <t>Svigt i nødprocedurer ved systemnedgang</t>
  </si>
  <si>
    <t>Nødprocedurer for kritiske processer er utilstrækkelige eller ukendte hos relevante medarbejdere, hvilket forlænger nedetid.</t>
  </si>
  <si>
    <t>Eksempel: Politik for risikostyring</t>
  </si>
  <si>
    <t>Forslag til politik, der kan tilpasses egen organisation  ·  NIS2-lovens § 6, stk. 1, nr. 1</t>
  </si>
  <si>
    <t>1. FORMÅL</t>
  </si>
  <si>
    <t>Formålet med denne politik er at etablere en systematisk tilgang til identifikation, analyse, evaluering og håndtering af cybersikkerhedsrisici i overensstemmelse med NIS2-lovens krav.
Ved at etablere denne politik sikrer vi:
• En ensartet og målrettet risikostyring på tværs af organisationen
• Efterlevelse af NIS2-lovens § 6, stk. 1, nr. 1
• At alle relevante risici identificeres og adresseres
• At ledelsen har det nødvendige grundlag for beslutninger om cybersikkerhed</t>
  </si>
  <si>
    <t>2. RISIKOSTYRINGSPROCES</t>
  </si>
  <si>
    <t>2.1 Kontekst og kriterier</t>
  </si>
  <si>
    <t>Fastlæg rammer for risikovurdering:
• Definér scope for risikovurderingen
• Identificér kritiske assets og systemer
• Fastlæg kriterier for risikoevaluering (risikoappetit)
• Identificér risikoejere og deres ansvar</t>
  </si>
  <si>
    <t>2.2 Risikoidentifikation</t>
  </si>
  <si>
    <t>Identificér og dokumentér risici:
• Kortlæg alle net- og informationssystemer
• Identificér trusler (cybertrusler, menneskelige fejl, miljøpåvirkninger)
• Identificér sårbarheder i systemer og processer
• Identificér single points of failure
• Inkludér risici fra tredjeparter og leverandører</t>
  </si>
  <si>
    <t>2.3 Risikoanalyse</t>
  </si>
  <si>
    <t>Analysér identificerede risici:
• Vurdér sandsynlighed for at truslen udnyttes (skala 1-5)
• Vurdér konsekvens hvis risikoen indtræffer (skala 1-5)
• Beregn risikoscore (sandsynlighed × konsekvens)
• Vurdér eksisterende foranstaltningers effektivitet
• Dokumentér begrundelser for vurderinger</t>
  </si>
  <si>
    <t>2.4 Risikoevaluering</t>
  </si>
  <si>
    <t>Evaluér risici mod fastsatte kriterier:
• Sammenlign risikoscores med risikoappetit
• Prioritér risici der kræver handling
• Identificér risici der kan accepteres
• Godkend risikoevalueringen hos risikoejere</t>
  </si>
  <si>
    <t>2.5 Risikohåndtering</t>
  </si>
  <si>
    <t>Beslut og implementér foranstaltninger:
• Reducér: Implementér foranstaltninger til at reducere risiko
• Undgå: Stop aktivitet der forårsager risiko
• Overfør: Forsikring eller deling med tredjeparter
• Acceptér: Dokumentér accept af restrisiko
• Udpeg ansvarlig for implementering
• Fastsæt tidsplan for implementering</t>
  </si>
  <si>
    <t>2.6 Overvågning og revision</t>
  </si>
  <si>
    <t>Følg op og revurdér løbende:
• Overvåg implementering af foranstaltninger
• Revurdér risici ved væsentlige ændringer
• Gennemfør risikovurdering minimum årligt
• Rapportér til ledelsen
• Opdatér dokumentation</t>
  </si>
  <si>
    <t>3. ROLLER OG ANSVAR</t>
  </si>
  <si>
    <t>Ledelsesorganet:
• Godkender politik for risikostyring
• Godkender resultater af risikovurdering og risikohåndteringsplan
• Accepterer restrisici
• Sikrer ressourcer til implementering af foranstaltninger
Risikoejere:
• Ansvarlige for specifikke risikoområder
• Godkender risikovurderinger for deres område
• Beslutter risikohåndtering inden for deres område
• Rapporterer til ledelsen
IT-sikkerhedsansvarlig:
• Faciliterer risikovurderingsprocessen
• Vedligeholder risikovurdering og dokumentation
• Overvåger implementering af foranstaltninger
• Rapporterer til ledelsen om risikostatus</t>
  </si>
  <si>
    <t>4. DOKUMENTATION OG REVISION</t>
  </si>
  <si>
    <t>Denne politik skal:
• Dokumenteres og godkendes af ledelsen
• Ajourføres minimum årligt
• Revideres ved væsentlige ændringer i:
  - Forretningsmæssig virksomhed
  - Trusselsbillede
  - Sårbarheder
  - Regulatoriske krav
• Kommunikeres til relevante medarbejdere
• Opbevares tilgængeligt for tilsyn
Dokumentation skal omfatte:
• Denne politik for risikostyring
• Risikovurderingsrapporter
• Risikohåndteringsplaner
• Godkendelser fra risikoejere og ledelse
• Beslutninger om accept af restrisici</t>
  </si>
  <si>
    <t>GODKENDELSE</t>
  </si>
  <si>
    <t>Politikken er godkendt af ledelsesorganet:</t>
  </si>
  <si>
    <t>Navn</t>
  </si>
  <si>
    <t>Stilling</t>
  </si>
  <si>
    <t>Underskrift</t>
  </si>
  <si>
    <t>Eksempel: Risikovurdering og risikohåndtering</t>
  </si>
  <si>
    <t>Udfyldt eksempel for en fiktiv mellemstor virksomhed  ·  Vurderingerne er vejledende og skal tilpasses egen organisation</t>
  </si>
  <si>
    <t>Eksempelvirksomhed A/S (fiktiv)</t>
  </si>
  <si>
    <t>IT-chef</t>
  </si>
  <si>
    <t>15-10-2026</t>
  </si>
  <si>
    <t>Direktør, 30-10-2026</t>
  </si>
  <si>
    <t>1.0</t>
  </si>
  <si>
    <t>Servere og hosting-infrastruktur</t>
  </si>
  <si>
    <t>T-2.3 Uopdateret eller usikret server</t>
  </si>
  <si>
    <t>Servere kan blive kompromitteret og give angribere adgang til data og systemer</t>
  </si>
  <si>
    <t>Der er implementeret automatisk patch management for kritiske servere, og der gennemføres kvartalsvise sårbarhedsscanninger. Ingen kritiske sårbarheder har stået åbne i mere end 30 dage det seneste år.</t>
  </si>
  <si>
    <t>Serverne hoster bl.a. ERP-system og kundedata. En kompromittering kan medføre driftsstop og forsinkede leverancer til kunder med betydelige økonomiske og omdømmemæssige konsekvenser.</t>
  </si>
  <si>
    <t>Ja</t>
  </si>
  <si>
    <t>Segmenteret servernetværk, antivirus/EDR på alle servere, automatisk patching af OS, kvartalsvise sårbarhedsscanninger, adgang kun via VPN og MFA.</t>
  </si>
  <si>
    <t>Implementering af centraliseret log-overvågning (SIEM) og overgang til månedlig sårbarhedsscanning inden udgangen af Q2.</t>
  </si>
  <si>
    <t>Sidst testet ved intern sårbarhedsscanning marts 2026. Revurderes ved næste scanning.</t>
  </si>
  <si>
    <t>Netværksudstyr (firewalls, switches, routere)</t>
  </si>
  <si>
    <t>T-1.4 Fejlkonfiguration af netværksudstyr</t>
  </si>
  <si>
    <t>Netværket kan blive kompromitteret og give uautoriseret adgang</t>
  </si>
  <si>
    <t>Netværksudstyr konfigureres efter dokumenteret baseline, og der er ikke konstateret uautoriserede konfigurationsændringer de seneste 12 måneder.</t>
  </si>
  <si>
    <t>Netværket forbinder administrative systemer med driftsnetværket (OT). En kompromittering af netværksudstyr kan give angribere adgang til styresystemer og forstyrre kritiske leverancer.</t>
  </si>
  <si>
    <t>Nej</t>
  </si>
  <si>
    <t>Firewallregler gennemgås årligt, netværkssegmentering mellem IT og OT, ændringer logges.</t>
  </si>
  <si>
    <t>Indførelse af automatisk konfigurationsbackup og halvårlig ekstern penetrationstest af netværksperimeteret.</t>
  </si>
  <si>
    <t>Netværksdiagram opdateret januar 2026. OT/IT-segmenteringen bør verificeres af ekstern rådgiver.</t>
  </si>
  <si>
    <t>Cloudtjenester</t>
  </si>
  <si>
    <t>T-1.7 Kompromittering af cloud-infrastruktur</t>
  </si>
  <si>
    <t>Data kan blive eksponeret, eller tjenester kan blive utilgængelige</t>
  </si>
  <si>
    <t>Virksomheden anvender flere cloudtjenester (bl.a. til ERP og lagerstyring) uden ensartet gennemgang af leverandørernes sikkerhedscertificeringer.</t>
  </si>
  <si>
    <t>Et brud hos cloududbyderen kan eksponere kunde- og leverandørdata og afbryde adgangen til forretningskritiske systemer i driftstiden.</t>
  </si>
  <si>
    <t>MFA på alle cloudkonti, gennemgang af leverandørers ISO 27001-certificering ved indgåelse af nye aftaler.</t>
  </si>
  <si>
    <t>Formel cloud-sikkerhedspolitik, årlig revurdering af databehandleraftaler (DPA) og exitplan for kritiske cloudtjenester.</t>
  </si>
  <si>
    <t>Databehandleraftaler for 2 ud af 5 cloudleverandører mangler opdatering. Følges op af IT og jura inden 1. juli 2027.</t>
  </si>
  <si>
    <t>Endpoints (pc, mobil, tablet)</t>
  </si>
  <si>
    <t>T-4.1 Phishing / manglende endpoint-beskyttelse</t>
  </si>
  <si>
    <t>Enheder kan inficeres med malware og bruges som indgangsvektor</t>
  </si>
  <si>
    <t>Medarbejderne arbejder hybridt, og der registreres ugentligt phishing-forsøg. Ikke alle mobile enheder er under central styring.</t>
  </si>
  <si>
    <t>Inficerede endpoints kan bruges som indgang til virksomhedens netværk og medføre spredning af malware til administrative systemer.</t>
  </si>
  <si>
    <t>EDR/antivirus på alle firmaenheder, automatisk skærmlås, kryptering af harddiske.</t>
  </si>
  <si>
    <t>Implementering af Mobile Device Management (MDM), der også dækker private enheder (BYOD), inden udgangen af året.</t>
  </si>
  <si>
    <t>Ca. 15 % af medarbejderne anvender i dag ikke-styrede private enheder til tjenstlig kommunikation.</t>
  </si>
  <si>
    <t>Industrielle styresystemer (OT, f.eks. SCADA/PLC)</t>
  </si>
  <si>
    <t>T-2.3 Manglende opdatering og segmentering af OT-udstyr</t>
  </si>
  <si>
    <t>Driftschef</t>
  </si>
  <si>
    <t>Kompromittering af styresystemer kan medføre driftsstop, fejl i leverancer eller hændelser med betydning for person- og forsyningssikkerhed</t>
  </si>
  <si>
    <t>OT-udstyret er ældre og opdateres sjældent på grund af krav om driftsstabilitet. Der er dog etableret fysisk adgangskontrol til driftsområderne.</t>
  </si>
  <si>
    <t>Styresystemerne understøtter virksomhedens kerneleverance. Et angreb kan stoppe driften i flere dage og i værste fald forårsage fysiske skader med samfundsmæssige konsekvenser.</t>
  </si>
  <si>
    <t>Fysisk adskilt driftsnetværk (delvis segmentering), adgangskoder på HMI-paneler, begrænset fjernadgang for leverandører.</t>
  </si>
  <si>
    <t>Driftschef i samarbejde med IT-chef</t>
  </si>
  <si>
    <t>Fuld netværkssegmentering mellem IT og OT (jf. IEC 62443), overvågning af OT-netværkstrafik og opdatering af ældste PLC-firmware inden udgangen af 2027.</t>
  </si>
  <si>
    <t>Der er endnu ikke gennemført en formel OT-sikkerhedsvurdering, derfor lav validitet. Anbefales prioriteret højt pga. den direkte kobling til kerneleverancen.</t>
  </si>
  <si>
    <t>Forretningskritiske applikationer (ERP, CRM)</t>
  </si>
  <si>
    <t>T-2.1 Udnyttelse af softwaresårbarheder</t>
  </si>
  <si>
    <t>Økonomichef</t>
  </si>
  <si>
    <t>Sårbarheder i ERP/CRM kan udnyttes til uautoriseret adgang eller forstyrre ordre- og fakturaflowet</t>
  </si>
  <si>
    <t>ERP leveres som SaaS med leverandørstyret patching. Ingen kendte hændelser de seneste tre år.</t>
  </si>
  <si>
    <t>ERP understøtter ordre, lager og fakturering. Nedetid på mere end én dag giver forsinkede leverancer og likviditetstab.</t>
  </si>
  <si>
    <t>SaaS-løsning med leverandørens sikkerhedsopdateringer, MFA for alle brugere, rollebaserede rettigheder.</t>
  </si>
  <si>
    <t>Kvartalsvis gennemgang af brugerrettigheder og test af nødprocedure for manuel ordrehåndtering.</t>
  </si>
  <si>
    <t>Leverandørens SOC 2-rapport gennemgået august 2026.</t>
  </si>
  <si>
    <t>E-mailsystem</t>
  </si>
  <si>
    <t>T-2.7 E-mailkompromittering (BEC)</t>
  </si>
  <si>
    <t>Overtagelse af en e-mailkonto kan bruges til fakturasvindel og spredning af phishing til kunder</t>
  </si>
  <si>
    <t>Virksomheden modtager dagligt phishing-forsøg, og der er registreret to forsøg på fakturasvindel det seneste år.</t>
  </si>
  <si>
    <t>Økonomisk tab ved fejlbetalinger og skade på kunders tillid. Begrænset påvirkning af driften.</t>
  </si>
  <si>
    <t>Spamfilter med sandboxing, MFA, DMARC/DKIM/SPF, procedure for telefonisk verifikation af ændrede kontooplysninger.</t>
  </si>
  <si>
    <t>Kvartalsvise phishing-simuleringer og blokering af ældre autentifikationsprotokoller.</t>
  </si>
  <si>
    <t>Antal registrerede phishing-forsøg følges månedligt.</t>
  </si>
  <si>
    <t>Webshop og kundeportal</t>
  </si>
  <si>
    <t>T-2.2 SQL-injektion og webapplikationsangreb</t>
  </si>
  <si>
    <t>E-commercechef</t>
  </si>
  <si>
    <t>Angribere kan tilgå kundedata eller sætte webshoppen ud af drift</t>
  </si>
  <si>
    <t>Webshoppen er eksponeret mod internettet og udsættes løbende for automatiserede angreb. Seneste penetrationstest fandt to middelalvorlige fund.</t>
  </si>
  <si>
    <t>Webshoppen står for ca. 30 % af omsætningen. Et brud på kundedata medfører anmeldelse til Datatilsynet og omdømmeskade.</t>
  </si>
  <si>
    <t>Web application firewall (WAF), årlig penetrationstest, sikker udviklingsproces hos leverandøren.</t>
  </si>
  <si>
    <t>E-commercechef i samarbejde med IT-chef</t>
  </si>
  <si>
    <t>Lukning af fund fra penetrationstesten inden 1. december 2026 og indførelse af løbende sårbarhedsscanning.</t>
  </si>
  <si>
    <t>Fund fra penetrationstesten følges i leverandørens ticketsystem.</t>
  </si>
  <si>
    <t>Integrationer og API'er</t>
  </si>
  <si>
    <t>T-2.5 Usikker API-integration</t>
  </si>
  <si>
    <t>Dårligt sikrede integrationer kan eksponere data eller give adgang til bagvedliggende systemer</t>
  </si>
  <si>
    <t>Der er få integrationer, og de er dokumenteret, men API-nøgler roteres ikke fast.</t>
  </si>
  <si>
    <t>Begrænset datamængde kan eksponeres. Ingen direkte påvirkning af driften.</t>
  </si>
  <si>
    <t>API-nøgler opbevares i nøgleboks, adgang er begrænset til kendte IP-adresser.</t>
  </si>
  <si>
    <t>Fast rotation af API-nøgler hver 6. måned.</t>
  </si>
  <si>
    <t>Kundedata og personoplysninger</t>
  </si>
  <si>
    <t>T-3.1 Datatyveri / eksfiltrering</t>
  </si>
  <si>
    <t>Databeskyttelsesansvarlig</t>
  </si>
  <si>
    <t>Læk af personoplysninger medfører brud på GDPR og tab af kundetillid</t>
  </si>
  <si>
    <t>Data er samlet i få systemer med adgangsstyring. Ingen kendte brud.</t>
  </si>
  <si>
    <t>Anmeldelse til Datatilsynet, risiko for bøde og betydelig omdømmeskade.</t>
  </si>
  <si>
    <t>Rollebaseret adgang, kryptering af databaser, logning af adgang til persondata.</t>
  </si>
  <si>
    <t>Implementering af DLP-regler i Microsoft 365 og årlig gennemgang af slettepolitikken.</t>
  </si>
  <si>
    <t>Forretningskritiske data</t>
  </si>
  <si>
    <t>T-3.2 Ransomware-angreb</t>
  </si>
  <si>
    <t>Kryptering af data og systemer kan stoppe driften og medføre datatab</t>
  </si>
  <si>
    <t>Ransomware er en af de mest udbredte trusler mod danske virksomheder. Virksomheden har ikke tidligere været ramt.</t>
  </si>
  <si>
    <t>Fuldt driftsstop i op til en uge og risiko for permanent tab af data, der ikke er sikkerhedskopieret.</t>
  </si>
  <si>
    <t>Daglig backup med offline kopi, EDR på alle enheder, segmenteret netværk.</t>
  </si>
  <si>
    <t>Halvårlig fuld genetableringstest og indførelse af uforanderlig (immutable) backup.</t>
  </si>
  <si>
    <t>Seneste genetableringstest i maj 2026: ERP var genetableret efter 14 timer.</t>
  </si>
  <si>
    <t>Forretningshemmeligheder</t>
  </si>
  <si>
    <t>T-3.3 Uautoriseret videregivelse af fortrolige oplysninger</t>
  </si>
  <si>
    <t>Direktør</t>
  </si>
  <si>
    <t>Tab af tegninger, priser eller tilbudsmateriale kan svække konkurrenceevnen</t>
  </si>
  <si>
    <t>Fortrolige data deles i stigende grad med samarbejdspartnere via e-mail og delte mapper.</t>
  </si>
  <si>
    <t>Økonomisk skade på længere sigt, men ingen direkte driftspåvirkning.</t>
  </si>
  <si>
    <t>Klassifikation af dokumenter, fortrolighedsaftaler med samarbejdspartnere.</t>
  </si>
  <si>
    <t>Kvartalsvis gennemgang af eksterne delinger i SharePoint.</t>
  </si>
  <si>
    <t>Vurderingen er et skøn, da omfanget af ekstern deling ikke er kortlagt.</t>
  </si>
  <si>
    <t>Logfiler og auditspor</t>
  </si>
  <si>
    <t>T-6.7 Utilstrækkelig logging og auditspor</t>
  </si>
  <si>
    <t>Manglende logs gør det umuligt at efterforske hændelser og dokumentere compliance</t>
  </si>
  <si>
    <t>Logning er aktiveret på servere og cloud, men logs gemmes kun i 30 dage og gennemgås ikke systematisk.</t>
  </si>
  <si>
    <t>Forsinket opdagelse af hændelser og manglende dokumentation over for tilsynsmyndigheden.</t>
  </si>
  <si>
    <t>Central logning af cloudtjenester og firewalls.</t>
  </si>
  <si>
    <t>Forlængelse af opbevaringen til 12 måneder og etablering af SIEM (jf. risikoen for servere).</t>
  </si>
  <si>
    <t>Medarbejdernes sikkerhedsbevidsthed</t>
  </si>
  <si>
    <t>T-4.4 Utilstrækkelig sikkerhedsbevidsthed</t>
  </si>
  <si>
    <t>HR-chef</t>
  </si>
  <si>
    <t>Medarbejdere kan utilsigtet forårsage sikkerhedshændelser</t>
  </si>
  <si>
    <t>Awareness-træning er kun gennemført for administrative medarbejdere. Klikraten ved seneste phishing-test var 11 %.</t>
  </si>
  <si>
    <t>Øget sandsynlighed for vellykket phishing og malware med afledte driftsforstyrrelser.</t>
  </si>
  <si>
    <t>Årlig e-learning for administrative medarbejdere.</t>
  </si>
  <si>
    <t>Obligatorisk træning for alle medarbejdere og kvartalsvise phishing-simuleringer.</t>
  </si>
  <si>
    <t>Mål: klikrate under 5 % inden udgangen af 2027.</t>
  </si>
  <si>
    <t>Adgangsstyring og offboarding</t>
  </si>
  <si>
    <t>T-4.5 Manglende adgangsstyring og offboarding</t>
  </si>
  <si>
    <t>Tidligere medarbejdere eller konsulenter kan bevare adgang til systemer</t>
  </si>
  <si>
    <t>Seneste gennemgang fandt fire aktive konti tilhørende fratrådte medarbejdere.</t>
  </si>
  <si>
    <t>Uautoriseret adgang til data og systemer med risiko for misbrug.</t>
  </si>
  <si>
    <t>Tjekliste ved fratrædelse, MFA på alle konti.</t>
  </si>
  <si>
    <t>Automatisk lukning af konti via kobling mellem HR-system og brugerkatalog samt kvartalsvis rettighedsgennemgang.</t>
  </si>
  <si>
    <t>Privilegerede konti</t>
  </si>
  <si>
    <t>T-2.6 Misbrug af privilegerede rettigheder</t>
  </si>
  <si>
    <t>Kompromittering af en administratorkonto giver bred adgang til hele it-miljøet</t>
  </si>
  <si>
    <t>Antallet af administratorkonti er reduceret, men to servicekonti har stadig domæneadministratorrettigheder.</t>
  </si>
  <si>
    <t>En kompromitteret administratorkonto kan bruges til at lamme alle systemer.</t>
  </si>
  <si>
    <t>Separate administratorkonti, MFA, logning af administratoraktivitet.</t>
  </si>
  <si>
    <t>Indførelse af Privileged Access Management (PAM) og fjernelse af overflødige rettigheder fra servicekonti.</t>
  </si>
  <si>
    <t>Sikkerhedsprocedurer i hverdagen</t>
  </si>
  <si>
    <t>T-4.7 Manglende overholdelse af sikkerhedsprocedurer</t>
  </si>
  <si>
    <t>Procedurer omgås, f.eks. via shadow IT eller deling af adgangskoder</t>
  </si>
  <si>
    <t>Enkelte afdelinger anvender egne cloudtjenester uden godkendelse fra IT.</t>
  </si>
  <si>
    <t>Begrænset konsekvens, men øger angrebsfladen og risikoen for datalæk.</t>
  </si>
  <si>
    <t>IT-sikkerhedspolitik og regler for acceptabel brug underskrevet af alle medarbejdere.</t>
  </si>
  <si>
    <t>Kortlægning af ikke-godkendte cloudtjenester.</t>
  </si>
  <si>
    <t>IT-driftsleverandør</t>
  </si>
  <si>
    <t>T-5.2 Svag sikkerhed hos kritiske leverandører</t>
  </si>
  <si>
    <t>Leverandørens fjernadgang kan misbruges som indgang til virksomhedens systemer</t>
  </si>
  <si>
    <t>Leverandøren er ISO 27001-certificeret, men har bred fjernadgang døgnet rundt.</t>
  </si>
  <si>
    <t>En kompromittering hos leverandøren kan give fuld adgang til alle systemer.</t>
  </si>
  <si>
    <t>Databehandleraftale, MFA på leverandørkonti, årlig gennemgang af ISO-certifikat.</t>
  </si>
  <si>
    <t>Tidsbegrænset fjernadgang (just-in-time) og overvågning af leverandørsessioner.</t>
  </si>
  <si>
    <t>Softwareleverandører</t>
  </si>
  <si>
    <t>T-5.1 Kompromitteret softwareleverandør</t>
  </si>
  <si>
    <t>Kompromitterede opdateringer fra en leverandør kan installere malware</t>
  </si>
  <si>
    <t>Sjælden hændelse, men set i større internationale angreb.</t>
  </si>
  <si>
    <t>Malware kan sprede sig til alle enheder via legitime opdateringskanaler.</t>
  </si>
  <si>
    <t>EDR overvåger også adfærd fra signeret software.</t>
  </si>
  <si>
    <t>Krav om oplysninger om softwarekomponenter (SBOM) ved indkøb af ny kritisk software.</t>
  </si>
  <si>
    <t>Lav sandsynlighed, men høj konsekvens. Følges via trusselsinformation.</t>
  </si>
  <si>
    <t>Leverandørkontrakter</t>
  </si>
  <si>
    <t>T-5.3 Utilstrækkelig kontraktlig sikkerhedsstyring</t>
  </si>
  <si>
    <t>Indkøbschef</t>
  </si>
  <si>
    <t>Uklare sikkerhedskrav i kontrakter giver uklar ansvarsfordeling ved hændelser</t>
  </si>
  <si>
    <t>Kun 40 % af kontrakterne med kritiske leverandører indeholder sikkerhedskrav og krav om underretning ved hændelser.</t>
  </si>
  <si>
    <t>Forsinket håndtering og uklart ansvar ved hændelser hos leverandører.</t>
  </si>
  <si>
    <t>Standardkontrakt med sikkerhedsbilag for nye leverandører.</t>
  </si>
  <si>
    <t>Genforhandling af kontrakter med de ti mest kritiske leverandører inden udgangen af 2027.</t>
  </si>
  <si>
    <t>Leverandøroversigt med kritikalitet opdateret september 2026.</t>
  </si>
  <si>
    <t>Kritiske underleverandører</t>
  </si>
  <si>
    <t>T-5.4 Svigt hos kritisk underleverandør</t>
  </si>
  <si>
    <t>Svigt hos en kritisk underleverandør kan stoppe egne leverancer</t>
  </si>
  <si>
    <t>Få leverandører er eneleverandører, men alternativer er ikke kortlagt.</t>
  </si>
  <si>
    <t>Forsinkede leverancer til kunder i op til flere uger.</t>
  </si>
  <si>
    <t>Dialog med de vigtigste leverandører om deres beredskab.</t>
  </si>
  <si>
    <t>Kortlægning af eneleverandører og aftaler med alternative leverandører.</t>
  </si>
  <si>
    <t>Hændelseshåndtering</t>
  </si>
  <si>
    <t>T-6.2 Forsinkelse i hændelsesrespons</t>
  </si>
  <si>
    <t>Langsom eller ukoordineret reaktion forlænger skadeomfanget</t>
  </si>
  <si>
    <t>Der findes en hændelsesprocedure, men den er ikke testet, og der er ingen vagtordning uden for arbejdstid.</t>
  </si>
  <si>
    <t>En ransomwarehændelse, der opdages sent, kan sprede sig til alle systemer.</t>
  </si>
  <si>
    <t>Skriftlig hændelsesprocedure, aftale med ekstern incident response-partner.</t>
  </si>
  <si>
    <t>Årlig tabletop-øvelse med ledelsen og etablering af vagtordning via leverandør.</t>
  </si>
  <si>
    <t>Underretning af myndigheder</t>
  </si>
  <si>
    <t>T-6.3 Manglende indberetning af sikkerhedshændelser</t>
  </si>
  <si>
    <t>Væsentlige hændelser indberettes ikke inden for NIS2-lovens frister</t>
  </si>
  <si>
    <t>Ansvar og frister er ikke beskrevet i hændelsesproceduren.</t>
  </si>
  <si>
    <t>Overtrædelse af NIS2-lovens underretningspligt med risiko for påbud og bøder.</t>
  </si>
  <si>
    <t>Ingen formaliseret procedure.</t>
  </si>
  <si>
    <t>Underretningsforløbet beskrives i hændelsesproceduren: tidlig varsling inden for 24 timer, hændelsesunderretning inden for 72 timer og endelig rapport senest én måned efter.</t>
  </si>
  <si>
    <t>Driftskontinuitet og genopretning</t>
  </si>
  <si>
    <t>T-6.4 Utilstrækkelig beredskabs- og genopretningsplan</t>
  </si>
  <si>
    <t>Langvarig nedetid, fordi genopretning ikke er planlagt og prioriteret</t>
  </si>
  <si>
    <t>Der findes en beredskabsplan fra 2024, men systemprioritering og genopretningstider er ikke fastlagt.</t>
  </si>
  <si>
    <t>Driftsstop ud over en uge truer leverancer til kunder og virksomhedens økonomi.</t>
  </si>
  <si>
    <t>Beredskabsplan, backup af kritiske systemer.</t>
  </si>
  <si>
    <t>Business impact-analyse med fastlagte genopretningsmål (RTO/RPO) og årlig test af planen.</t>
  </si>
  <si>
    <t>Krisekommunikation</t>
  </si>
  <si>
    <t>T-6.6 Manglende krisekommunikation og koordinering</t>
  </si>
  <si>
    <t>Kommunikationschef</t>
  </si>
  <si>
    <t>Uklar kommunikation under en krise forsinker afhjælpning og skader omdømmet</t>
  </si>
  <si>
    <t>Der er ingen alternative kommunikationskanaler, hvis e-mail og Teams er nede.</t>
  </si>
  <si>
    <t>Forsinket koordinering internt og utilfredse kunder og samarbejdspartnere.</t>
  </si>
  <si>
    <t>Kontaktliste til nøglepersoner opbevares på papir.</t>
  </si>
  <si>
    <t>Etablering af alternativ kommunikationskanal og skabeloner til ekstern kommunikation.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</si>
</sst>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&quot;&quot;"/>
    <numFmt numFmtId="165" formatCode="\+0;\-0;0"/>
    <numFmt numFmtId="166" formatCode="0;\-0;\–"/>
    <numFmt numFmtId="167" formatCode="0.0"/>
  </numFmts>
  <fonts count="3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9"/>
      <color rgb="FFC9D3E0"/>
      <name val="Arial"/>
      <charset val="1"/>
    </font>
    <font>
      <b/>
      <sz val="11"/>
      <color rgb="FF1F2A44"/>
      <name val="Arial"/>
      <charset val="1"/>
    </font>
    <font>
      <sz val="10"/>
      <color rgb="FF1F2937"/>
      <name val="Arial"/>
      <charset val="1"/>
    </font>
    <font>
      <b/>
      <sz val="14"/>
      <color rgb="FF1F2A44"/>
      <name val="Arial"/>
      <charset val="1"/>
    </font>
    <font>
      <b/>
      <sz val="10"/>
      <color rgb="FFFFFFFF"/>
      <name val="Arial"/>
      <charset val="1"/>
    </font>
    <font>
      <sz val="9"/>
      <color rgb="FF6B7280"/>
      <name val="Arial"/>
      <charset val="1"/>
    </font>
    <font>
      <b/>
      <sz val="12"/>
      <color rgb="FF1F2A44"/>
      <name val="Arial"/>
      <charset val="1"/>
    </font>
    <font>
      <b/>
      <sz val="10"/>
      <color rgb="FF1F2937"/>
      <name val="Arial"/>
      <charset val="1"/>
    </font>
    <font>
      <b/>
      <sz val="10"/>
      <color rgb="FF1F2A44"/>
      <name val="Arial"/>
      <charset val="1"/>
    </font>
    <font>
      <b/>
      <sz val="9"/>
      <color rgb="FFFFFFFF"/>
      <name val="Arial"/>
      <charset val="1"/>
    </font>
    <font>
      <b/>
      <sz val="10"/>
      <color rgb="FF85200C"/>
      <name val="Arial"/>
      <charset val="1"/>
    </font>
    <font>
      <b/>
      <sz val="10"/>
      <color rgb="FF7F5F00"/>
      <name val="Arial"/>
      <charset val="1"/>
    </font>
    <font>
      <b/>
      <sz val="10"/>
      <color rgb="FF274E13"/>
      <name val="Arial"/>
      <charset val="1"/>
    </font>
    <font>
      <u/>
      <sz val="10"/>
      <color rgb="FF1F4E99"/>
      <name val="Arial"/>
      <charset val="1"/>
    </font>
    <font>
      <b/>
      <sz val="9"/>
      <color rgb="FF6B7280"/>
      <name val="Arial"/>
      <charset val="1"/>
    </font>
    <font>
      <i/>
      <sz val="8"/>
      <color rgb="FF6B7280"/>
      <name val="Arial"/>
      <charset val="1"/>
    </font>
    <font>
      <b/>
      <sz val="9"/>
      <color rgb="FF1F2A44"/>
      <name val="Arial"/>
      <charset val="1"/>
    </font>
    <font>
      <sz val="9"/>
      <color rgb="FF1F2937"/>
      <name val="Arial"/>
      <charset val="1"/>
    </font>
    <font>
      <b/>
      <sz val="9"/>
      <color rgb="FF1F2937"/>
      <name val="Arial"/>
      <charset val="1"/>
    </font>
    <font>
      <sz val="10"/>
      <name val="Arial"/>
      <family val="2"/>
    </font>
    <font>
      <b/>
      <sz val="11"/>
      <color rgb="FF1F2937"/>
      <name val="Arial"/>
      <charset val="1"/>
    </font>
    <font>
      <i/>
      <sz val="9"/>
      <color rgb="FF6B7280"/>
      <name val="Arial"/>
      <charset val="1"/>
    </font>
    <font>
      <b/>
      <sz val="8"/>
      <color rgb="FF6B7280"/>
      <name val="Arial"/>
      <charset val="1"/>
    </font>
    <font>
      <b/>
      <sz val="16"/>
      <color rgb="FF7F5F00"/>
      <name val="Arial"/>
      <charset val="1"/>
    </font>
    <font>
      <b/>
      <sz val="16"/>
      <color rgb="FF85200C"/>
      <name val="Arial"/>
      <charset val="1"/>
    </font>
    <font>
      <sz val="10"/>
      <color rgb="FF6B7280"/>
      <name val="Arial"/>
      <charset val="1"/>
    </font>
    <font>
      <b/>
      <sz val="16"/>
      <color rgb="FF274E13"/>
      <name val="Arial"/>
      <charset val="1"/>
    </font>
    <font>
      <i/>
      <sz val="10"/>
      <color rgb="FF6B728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2A44"/>
        <bgColor rgb="FF1F2937"/>
      </patternFill>
    </fill>
    <fill>
      <patternFill patternType="solid">
        <fgColor rgb="FF2B3A57"/>
        <bgColor rgb="FF1F2A44"/>
      </patternFill>
    </fill>
    <fill>
      <patternFill patternType="solid">
        <fgColor rgb="FF3B4F6B"/>
        <bgColor rgb="FF2B3A57"/>
      </patternFill>
    </fill>
    <fill>
      <patternFill patternType="solid">
        <fgColor rgb="FF50668A"/>
        <bgColor rgb="FF6B7280"/>
      </patternFill>
    </fill>
    <fill>
      <patternFill patternType="solid">
        <fgColor rgb="FF6880A6"/>
        <bgColor rgb="FF6B7280"/>
      </patternFill>
    </fill>
    <fill>
      <patternFill patternType="solid">
        <fgColor rgb="FFF5F7FA"/>
        <bgColor rgb="FFEEF1F5"/>
      </patternFill>
    </fill>
    <fill>
      <patternFill patternType="solid">
        <fgColor rgb="FFE8EDF3"/>
        <bgColor rgb="FFEEF1F5"/>
      </patternFill>
    </fill>
    <fill>
      <patternFill patternType="solid">
        <fgColor rgb="FFF4CCCC"/>
        <bgColor rgb="FFD0D5DD"/>
      </patternFill>
    </fill>
    <fill>
      <patternFill patternType="solid">
        <fgColor rgb="FFFCE8B2"/>
        <bgColor rgb="FFFFF8DC"/>
      </patternFill>
    </fill>
    <fill>
      <patternFill patternType="solid">
        <fgColor rgb="FFD9EAD3"/>
        <bgColor rgb="FFE8EDF3"/>
      </patternFill>
    </fill>
    <fill>
      <patternFill patternType="solid">
        <fgColor rgb="FFFFFFFF"/>
        <bgColor rgb="FFF5F7FA"/>
      </patternFill>
    </fill>
    <fill>
      <patternFill patternType="solid">
        <fgColor rgb="FFEEF1F5"/>
        <bgColor rgb="FFE8EDF3"/>
      </patternFill>
    </fill>
    <fill>
      <patternFill patternType="solid">
        <fgColor rgb="FFFFF8DC"/>
        <bgColor rgb="FFF5F7FA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2A44"/>
      </bottom>
      <diagonal/>
    </border>
    <border>
      <left/>
      <right/>
      <top/>
      <bottom style="thin">
        <color rgb="FFD0D5DD"/>
      </bottom>
      <diagonal/>
    </border>
    <border>
      <left style="thick">
        <color rgb="FF1F2A44"/>
      </left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 style="medium">
        <color rgb="FF1F2A44"/>
      </left>
      <right style="medium">
        <color rgb="FF1F2A44"/>
      </right>
      <top style="medium">
        <color rgb="FF1F2A44"/>
      </top>
      <bottom style="medium">
        <color rgb="FF1F2A4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1F2937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6" fillId="0" borderId="0" xfId="0" applyFont="1" applyBorder="1" applyAlignment="1">
      <alignment horizontal="right" vertical="center" wrapText="1" indent="1"/>
    </xf>
    <xf numFmtId="0" fontId="4" fillId="12" borderId="4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top" wrapText="1"/>
    </xf>
    <xf numFmtId="0" fontId="11" fillId="4" borderId="0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vertical="center" wrapText="1" indent="1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3" fillId="0" borderId="1" xfId="0" applyFont="1" applyBorder="1" applyAlignment="1"/>
    <xf numFmtId="0" fontId="2" fillId="2" borderId="0" xfId="0" applyFont="1" applyFill="1" applyBorder="1" applyAlignment="1">
      <alignment vertical="top" indent="1"/>
    </xf>
    <xf numFmtId="0" fontId="1" fillId="2" borderId="0" xfId="0" applyFont="1" applyFill="1" applyBorder="1" applyAlignment="1">
      <alignment vertical="center" indent="1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/>
    <xf numFmtId="0" fontId="10" fillId="0" borderId="2" xfId="0" applyFont="1" applyBorder="1" applyAlignment="1">
      <alignment horizontal="left" vertical="top" wrapText="1"/>
    </xf>
    <xf numFmtId="0" fontId="11" fillId="4" borderId="0" xfId="0" applyFont="1" applyFill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top"/>
    </xf>
    <xf numFmtId="0" fontId="9" fillId="7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/>
    </xf>
    <xf numFmtId="0" fontId="10" fillId="8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 indent="1"/>
    </xf>
    <xf numFmtId="0" fontId="4" fillId="12" borderId="4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right" vertical="center" wrapText="1" indent="1"/>
    </xf>
    <xf numFmtId="0" fontId="18" fillId="8" borderId="4" xfId="0" applyFont="1" applyFill="1" applyBorder="1" applyAlignment="1">
      <alignment horizontal="left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left" vertical="top" wrapText="1"/>
    </xf>
    <xf numFmtId="0" fontId="19" fillId="12" borderId="4" xfId="0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1" fillId="4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left" vertical="center" wrapText="1"/>
    </xf>
    <xf numFmtId="164" fontId="25" fillId="10" borderId="7" xfId="0" applyNumberFormat="1" applyFont="1" applyFill="1" applyBorder="1" applyAlignment="1">
      <alignment horizontal="center" vertical="center" wrapText="1"/>
    </xf>
    <xf numFmtId="164" fontId="26" fillId="9" borderId="7" xfId="0" applyNumberFormat="1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left" vertical="center" wrapText="1"/>
    </xf>
    <xf numFmtId="0" fontId="22" fillId="0" borderId="4" xfId="0" applyFont="1" applyBorder="1" applyAlignment="1">
      <alignment horizontal="center" vertical="center" wrapText="1"/>
    </xf>
    <xf numFmtId="165" fontId="27" fillId="0" borderId="4" xfId="0" applyNumberFormat="1" applyFont="1" applyBorder="1" applyAlignment="1">
      <alignment horizontal="center" vertical="center" wrapText="1"/>
    </xf>
    <xf numFmtId="164" fontId="28" fillId="11" borderId="7" xfId="0" applyNumberFormat="1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0" fontId="14" fillId="11" borderId="4" xfId="0" applyFont="1" applyFill="1" applyBorder="1" applyAlignment="1">
      <alignment horizontal="left" vertical="center" wrapText="1"/>
    </xf>
    <xf numFmtId="0" fontId="9" fillId="8" borderId="4" xfId="0" applyFont="1" applyFill="1" applyBorder="1" applyAlignment="1">
      <alignment horizontal="left" vertical="center" wrapText="1"/>
    </xf>
    <xf numFmtId="0" fontId="22" fillId="8" borderId="4" xfId="0" applyFont="1" applyFill="1" applyBorder="1" applyAlignment="1">
      <alignment horizontal="center" vertical="center" wrapText="1"/>
    </xf>
    <xf numFmtId="0" fontId="0" fillId="8" borderId="4" xfId="0" applyFill="1" applyBorder="1"/>
    <xf numFmtId="0" fontId="20" fillId="8" borderId="4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4" fillId="0" borderId="4" xfId="0" applyFont="1" applyBorder="1" applyAlignment="1">
      <alignment horizontal="center" vertical="center" wrapText="1"/>
    </xf>
    <xf numFmtId="166" fontId="12" fillId="0" borderId="4" xfId="0" applyNumberFormat="1" applyFont="1" applyBorder="1" applyAlignment="1">
      <alignment horizontal="center" vertical="center" wrapText="1"/>
    </xf>
    <xf numFmtId="167" fontId="4" fillId="0" borderId="4" xfId="0" applyNumberFormat="1" applyFont="1" applyBorder="1" applyAlignment="1">
      <alignment horizontal="center" vertical="center" wrapText="1"/>
    </xf>
    <xf numFmtId="0" fontId="0" fillId="0" borderId="4" xfId="0" applyBorder="1"/>
    <xf numFmtId="166" fontId="4" fillId="0" borderId="4" xfId="0" applyNumberFormat="1" applyFont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166" fontId="12" fillId="7" borderId="4" xfId="0" applyNumberFormat="1" applyFont="1" applyFill="1" applyBorder="1" applyAlignment="1">
      <alignment horizontal="center" vertical="center" wrapText="1"/>
    </xf>
    <xf numFmtId="167" fontId="4" fillId="7" borderId="4" xfId="0" applyNumberFormat="1" applyFont="1" applyFill="1" applyBorder="1" applyAlignment="1">
      <alignment horizontal="center" vertical="center" wrapText="1"/>
    </xf>
    <xf numFmtId="0" fontId="0" fillId="7" borderId="4" xfId="0" applyFill="1" applyBorder="1"/>
    <xf numFmtId="166" fontId="4" fillId="7" borderId="4" xfId="0" applyNumberFormat="1" applyFont="1" applyFill="1" applyBorder="1" applyAlignment="1">
      <alignment horizontal="center" vertical="center" wrapText="1"/>
    </xf>
    <xf numFmtId="166" fontId="9" fillId="8" borderId="4" xfId="0" applyNumberFormat="1" applyFont="1" applyFill="1" applyBorder="1" applyAlignment="1">
      <alignment horizontal="center" vertical="center" wrapText="1"/>
    </xf>
    <xf numFmtId="167" fontId="9" fillId="8" borderId="4" xfId="0" applyNumberFormat="1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top" wrapText="1"/>
    </xf>
    <xf numFmtId="0" fontId="18" fillId="7" borderId="2" xfId="0" applyFont="1" applyFill="1" applyBorder="1" applyAlignment="1">
      <alignment horizontal="left" vertical="top" wrapText="1"/>
    </xf>
    <xf numFmtId="0" fontId="29" fillId="0" borderId="0" xfId="0" applyFont="1"/>
    <xf numFmtId="0" fontId="9" fillId="0" borderId="0" xfId="0" applyFont="1" applyAlignment="1"/>
    <xf numFmtId="0" fontId="0" fillId="0" borderId="8" xfId="0" applyBorder="1"/>
    <xf numFmtId="0" fontId="17" fillId="0" borderId="0" xfId="0" applyFont="1" applyBorder="1" applyAlignment="1">
      <alignment horizontal="right" vertical="center"/>
    </xf>
    <xf numFmtId="0" fontId="6" fillId="4" borderId="0" xfId="0" applyFont="1" applyFill="1" applyBorder="1" applyAlignment="1">
      <alignment vertical="center" indent="1"/>
    </xf>
    <xf numFmtId="0" fontId="6" fillId="5" borderId="0" xfId="0" applyFont="1" applyFill="1" applyBorder="1" applyAlignment="1">
      <alignment vertical="center" indent="1"/>
    </xf>
    <xf numFmtId="0" fontId="18" fillId="7" borderId="5" xfId="0" applyFont="1" applyFill="1" applyBorder="1" applyAlignment="1">
      <alignment vertical="center" indent="1"/>
    </xf>
    <xf numFmtId="0" fontId="22" fillId="14" borderId="6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textRotation="90" wrapText="1"/>
    </xf>
    <xf numFmtId="0" fontId="17" fillId="0" borderId="0" xfId="0" applyFont="1" applyBorder="1" applyAlignment="1">
      <alignment horizontal="left" vertical="top" wrapText="1"/>
    </xf>
    <xf numFmtId="0" fontId="24" fillId="0" borderId="0" xfId="0" applyFont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166" fontId="4" fillId="0" borderId="4" xfId="0" applyNumberFormat="1" applyFont="1" applyBorder="1" applyAlignment="1">
      <alignment horizontal="center" vertical="center" wrapText="1"/>
    </xf>
    <xf numFmtId="0" fontId="9" fillId="7" borderId="4" xfId="0" applyFont="1" applyFill="1" applyBorder="1" applyAlignment="1">
      <alignment horizontal="left" vertical="center" wrapText="1"/>
    </xf>
    <xf numFmtId="166" fontId="4" fillId="7" borderId="4" xfId="0" applyNumberFormat="1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left" vertical="center" wrapText="1"/>
    </xf>
    <xf numFmtId="166" fontId="9" fillId="8" borderId="4" xfId="0" applyNumberFormat="1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vertical="center" indent="1"/>
    </xf>
  </cellXfs>
  <cellStyles count="1">
    <cellStyle name="Normal" xfId="0" builtinId="0"/>
  </cellStyles>
  <dxfs count="30">
    <dxf>
      <font>
        <b/>
        <color rgb="FF85200C"/>
        <name val="Arial"/>
        <charset val="1"/>
      </font>
      <fill>
        <patternFill>
          <bgColor rgb="FFF4CCCC"/>
        </patternFill>
      </fill>
    </dxf>
    <dxf>
      <font>
        <b/>
        <color rgb="FF7F5F00"/>
        <name val="Arial"/>
        <charset val="1"/>
      </font>
      <fill>
        <patternFill>
          <bgColor rgb="FFFCE8B2"/>
        </patternFill>
      </fill>
    </dxf>
    <dxf>
      <font>
        <b/>
        <color rgb="FF274E13"/>
        <name val="Arial"/>
        <charset val="1"/>
      </font>
      <fill>
        <patternFill>
          <bgColor rgb="FFD9EAD3"/>
        </patternFill>
      </fill>
    </dxf>
    <dxf>
      <font>
        <b/>
        <color rgb="FF274E13"/>
        <name val="Arial"/>
        <charset val="1"/>
      </font>
      <fill>
        <patternFill>
          <bgColor rgb="FFD9EAD3"/>
        </patternFill>
      </fill>
    </dxf>
    <dxf>
      <font>
        <b/>
        <color rgb="FF7F5F00"/>
        <name val="Arial"/>
        <charset val="1"/>
      </font>
      <fill>
        <patternFill>
          <bgColor rgb="FFFCE8B2"/>
        </patternFill>
      </fill>
    </dxf>
    <dxf>
      <font>
        <b/>
        <color rgb="FF85200C"/>
        <name val="Arial"/>
        <charset val="1"/>
      </font>
      <fill>
        <patternFill>
          <bgColor rgb="FFF4CCCC"/>
        </patternFill>
      </fill>
    </dxf>
    <dxf>
      <font>
        <color rgb="FF274E13"/>
        <name val="Arial"/>
        <charset val="1"/>
      </font>
      <fill>
        <patternFill>
          <bgColor rgb="FFD9EAD3"/>
        </patternFill>
      </fill>
    </dxf>
    <dxf>
      <font>
        <color rgb="FF7F5F00"/>
        <name val="Arial"/>
        <charset val="1"/>
      </font>
      <fill>
        <patternFill>
          <bgColor rgb="FFFCE8B2"/>
        </patternFill>
      </fill>
    </dxf>
    <dxf>
      <font>
        <color rgb="FF85200C"/>
        <name val="Arial"/>
        <charset val="1"/>
      </font>
      <fill>
        <patternFill>
          <bgColor rgb="FFF4CCCC"/>
        </patternFill>
      </fill>
    </dxf>
    <dxf>
      <font>
        <b/>
        <color rgb="FF85200C"/>
        <name val="Arial"/>
        <charset val="1"/>
      </font>
      <fill>
        <patternFill>
          <bgColor rgb="FFF4CCCC"/>
        </patternFill>
      </fill>
    </dxf>
    <dxf>
      <font>
        <b/>
        <color rgb="FF7F5F00"/>
        <name val="Arial"/>
        <charset val="1"/>
      </font>
      <fill>
        <patternFill>
          <bgColor rgb="FFFCE8B2"/>
        </patternFill>
      </fill>
    </dxf>
    <dxf>
      <font>
        <b/>
        <color rgb="FF274E13"/>
        <name val="Arial"/>
        <charset val="1"/>
      </font>
      <fill>
        <patternFill>
          <bgColor rgb="FFD9EAD3"/>
        </patternFill>
      </fill>
    </dxf>
    <dxf>
      <font>
        <b/>
        <color rgb="FF274E13"/>
        <name val="Arial"/>
        <charset val="1"/>
      </font>
      <fill>
        <patternFill>
          <bgColor rgb="FFD9EAD3"/>
        </patternFill>
      </fill>
    </dxf>
    <dxf>
      <font>
        <b/>
        <color rgb="FF7F5F00"/>
        <name val="Arial"/>
        <charset val="1"/>
      </font>
      <fill>
        <patternFill>
          <bgColor rgb="FFFCE8B2"/>
        </patternFill>
      </fill>
    </dxf>
    <dxf>
      <font>
        <b/>
        <color rgb="FF85200C"/>
        <name val="Arial"/>
        <charset val="1"/>
      </font>
      <fill>
        <patternFill>
          <bgColor rgb="FFF4CCCC"/>
        </patternFill>
      </fill>
    </dxf>
    <dxf>
      <font>
        <b/>
        <color rgb="FF85200C"/>
        <name val="Arial"/>
        <charset val="1"/>
      </font>
      <fill>
        <patternFill>
          <bgColor rgb="FFF4CCCC"/>
        </patternFill>
      </fill>
    </dxf>
    <dxf>
      <font>
        <b/>
        <color rgb="FF7F5F00"/>
        <name val="Arial"/>
        <charset val="1"/>
      </font>
      <fill>
        <patternFill>
          <bgColor rgb="FFFCE8B2"/>
        </patternFill>
      </fill>
    </dxf>
    <dxf>
      <font>
        <b/>
        <color rgb="FF274E13"/>
        <name val="Arial"/>
        <charset val="1"/>
      </font>
      <fill>
        <patternFill>
          <bgColor rgb="FFD9EAD3"/>
        </patternFill>
      </fill>
    </dxf>
    <dxf>
      <font>
        <b/>
        <color rgb="FF274E13"/>
        <name val="Arial"/>
        <charset val="1"/>
      </font>
      <fill>
        <patternFill>
          <bgColor rgb="FFD9EAD3"/>
        </patternFill>
      </fill>
    </dxf>
    <dxf>
      <font>
        <b/>
        <color rgb="FF7F5F00"/>
        <name val="Arial"/>
        <charset val="1"/>
      </font>
      <fill>
        <patternFill>
          <bgColor rgb="FFFCE8B2"/>
        </patternFill>
      </fill>
    </dxf>
    <dxf>
      <font>
        <b/>
        <color rgb="FF85200C"/>
        <name val="Arial"/>
        <charset val="1"/>
      </font>
      <fill>
        <patternFill>
          <bgColor rgb="FFF4CCCC"/>
        </patternFill>
      </fill>
    </dxf>
    <dxf>
      <font>
        <color rgb="FF274E13"/>
        <name val="Arial"/>
        <charset val="1"/>
      </font>
      <fill>
        <patternFill>
          <bgColor rgb="FFD9EAD3"/>
        </patternFill>
      </fill>
    </dxf>
    <dxf>
      <font>
        <color rgb="FF7F5F00"/>
        <name val="Arial"/>
        <charset val="1"/>
      </font>
      <fill>
        <patternFill>
          <bgColor rgb="FFFCE8B2"/>
        </patternFill>
      </fill>
    </dxf>
    <dxf>
      <font>
        <color rgb="FF85200C"/>
        <name val="Arial"/>
        <charset val="1"/>
      </font>
      <fill>
        <patternFill>
          <bgColor rgb="FFF4CCCC"/>
        </patternFill>
      </fill>
    </dxf>
    <dxf>
      <font>
        <b/>
        <color rgb="FF85200C"/>
        <name val="Arial"/>
        <charset val="1"/>
      </font>
      <fill>
        <patternFill>
          <bgColor rgb="FFF4CCCC"/>
        </patternFill>
      </fill>
    </dxf>
    <dxf>
      <font>
        <b/>
        <color rgb="FF7F5F00"/>
        <name val="Arial"/>
        <charset val="1"/>
      </font>
      <fill>
        <patternFill>
          <bgColor rgb="FFFCE8B2"/>
        </patternFill>
      </fill>
    </dxf>
    <dxf>
      <font>
        <b/>
        <color rgb="FF274E13"/>
        <name val="Arial"/>
        <charset val="1"/>
      </font>
      <fill>
        <patternFill>
          <bgColor rgb="FFD9EAD3"/>
        </patternFill>
      </fill>
    </dxf>
    <dxf>
      <font>
        <b/>
        <color rgb="FF274E13"/>
        <name val="Arial"/>
        <charset val="1"/>
      </font>
      <fill>
        <patternFill>
          <bgColor rgb="FFD9EAD3"/>
        </patternFill>
      </fill>
    </dxf>
    <dxf>
      <font>
        <b/>
        <color rgb="FF7F5F00"/>
        <name val="Arial"/>
        <charset val="1"/>
      </font>
      <fill>
        <patternFill>
          <bgColor rgb="FFFCE8B2"/>
        </patternFill>
      </fill>
    </dxf>
    <dxf>
      <font>
        <b/>
        <color rgb="FF85200C"/>
        <name val="Arial"/>
        <charset val="1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5F00"/>
      <rgbColor rgb="FF800080"/>
      <rgbColor rgb="FF3B4F6B"/>
      <rgbColor rgb="FFB7C2D1"/>
      <rgbColor rgb="FF6880A6"/>
      <rgbColor rgb="FF9999FF"/>
      <rgbColor rgb="FF993366"/>
      <rgbColor rgb="FFFFF8DC"/>
      <rgbColor rgb="FFE8EDF3"/>
      <rgbColor rgb="FF660066"/>
      <rgbColor rgb="FFFF8080"/>
      <rgbColor rgb="FF1F4E99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5"/>
      <rgbColor rgb="FFD9EAD3"/>
      <rgbColor rgb="FFFCE8B2"/>
      <rgbColor rgb="FFD0D5DD"/>
      <rgbColor rgb="FFF5F7FA"/>
      <rgbColor rgb="FFCC99FF"/>
      <rgbColor rgb="FFF4CCCC"/>
      <rgbColor rgb="FF50668A"/>
      <rgbColor rgb="FF33CCCC"/>
      <rgbColor rgb="FF99CC00"/>
      <rgbColor rgb="FFFFCC00"/>
      <rgbColor rgb="FFFF9900"/>
      <rgbColor rgb="FFFF6600"/>
      <rgbColor rgb="FF6B7280"/>
      <rgbColor rgb="FF8A99B0"/>
      <rgbColor rgb="FF1F2A44"/>
      <rgbColor rgb="FF339966"/>
      <rgbColor rgb="FF003300"/>
      <rgbColor rgb="FF274E13"/>
      <rgbColor rgb="FF85200C"/>
      <rgbColor rgb="FF993366"/>
      <rgbColor rgb="FF2B3A57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is2tjek.dk/" TargetMode="External"/><Relationship Id="rId2" Type="http://schemas.openxmlformats.org/officeDocument/2006/relationships/hyperlink" Target="https://samsik.dk/nis2/" TargetMode="External"/><Relationship Id="rId1" Type="http://schemas.openxmlformats.org/officeDocument/2006/relationships/hyperlink" Target="https://samsik.dk/wp-content/uploads/2025/08/Vejledning-til-implementering-af-cybersikkerhedsforanstaltninger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  <pageSetUpPr fitToPage="1"/>
  </sheetPr>
  <dimension ref="B1:G75"/>
  <sheetViews>
    <sheetView showGridLines="0" topLeftCell="A47" zoomScaleNormal="100" workbookViewId="0">
      <selection activeCell="C77" sqref="C77"/>
    </sheetView>
  </sheetViews>
  <sheetFormatPr defaultColWidth="8.7109375" defaultRowHeight="15" x14ac:dyDescent="0.25"/>
  <cols>
    <col min="1" max="1" width="2.42578125" customWidth="1"/>
    <col min="2" max="2" width="9" customWidth="1"/>
    <col min="3" max="3" width="30" customWidth="1"/>
    <col min="4" max="7" width="26" customWidth="1"/>
  </cols>
  <sheetData>
    <row r="1" spans="2:7" ht="36" customHeight="1" x14ac:dyDescent="0.25">
      <c r="B1" s="12" t="s">
        <v>0</v>
      </c>
      <c r="C1" s="12"/>
      <c r="D1" s="12"/>
      <c r="E1" s="12"/>
      <c r="F1" s="12"/>
      <c r="G1" s="12"/>
    </row>
    <row r="2" spans="2:7" ht="19.5" customHeight="1" x14ac:dyDescent="0.25">
      <c r="B2" s="11" t="s">
        <v>1</v>
      </c>
      <c r="C2" s="11"/>
      <c r="D2" s="11"/>
      <c r="E2" s="11"/>
      <c r="F2" s="11"/>
      <c r="G2" s="11"/>
    </row>
    <row r="4" spans="2:7" ht="25.5" customHeight="1" x14ac:dyDescent="0.25">
      <c r="B4" s="10" t="s">
        <v>2</v>
      </c>
      <c r="C4" s="10"/>
      <c r="D4" s="10"/>
      <c r="E4" s="10"/>
      <c r="F4" s="10"/>
      <c r="G4" s="10"/>
    </row>
    <row r="5" spans="2:7" ht="126" customHeight="1" x14ac:dyDescent="0.25">
      <c r="B5" s="9" t="s">
        <v>3</v>
      </c>
      <c r="C5" s="9"/>
      <c r="D5" s="9"/>
      <c r="E5" s="9"/>
      <c r="F5" s="9"/>
      <c r="G5" s="9"/>
    </row>
    <row r="7" spans="2:7" ht="25.5" customHeight="1" x14ac:dyDescent="0.25">
      <c r="B7" s="10" t="s">
        <v>4</v>
      </c>
      <c r="C7" s="10"/>
      <c r="D7" s="10"/>
      <c r="E7" s="10"/>
      <c r="F7" s="10"/>
      <c r="G7" s="10"/>
    </row>
    <row r="8" spans="2:7" ht="33.75" customHeight="1" x14ac:dyDescent="0.25">
      <c r="B8" s="13" t="s">
        <v>5</v>
      </c>
      <c r="C8" s="14" t="s">
        <v>6</v>
      </c>
      <c r="D8" s="15" t="s">
        <v>7</v>
      </c>
      <c r="E8" s="16" t="s">
        <v>8</v>
      </c>
      <c r="F8" s="17" t="s">
        <v>9</v>
      </c>
      <c r="G8" s="18" t="s">
        <v>10</v>
      </c>
    </row>
    <row r="9" spans="2:7" ht="30" customHeight="1" x14ac:dyDescent="0.25">
      <c r="C9" s="19" t="s">
        <v>11</v>
      </c>
      <c r="D9" s="19" t="s">
        <v>12</v>
      </c>
      <c r="E9" s="19" t="s">
        <v>13</v>
      </c>
      <c r="F9" s="19" t="s">
        <v>14</v>
      </c>
      <c r="G9" s="19" t="s">
        <v>15</v>
      </c>
    </row>
    <row r="11" spans="2:7" ht="25.5" customHeight="1" x14ac:dyDescent="0.25">
      <c r="B11" s="10" t="s">
        <v>16</v>
      </c>
      <c r="C11" s="10"/>
      <c r="D11" s="10"/>
      <c r="E11" s="10"/>
      <c r="F11" s="10"/>
      <c r="G11" s="10"/>
    </row>
    <row r="12" spans="2:7" ht="51.75" customHeight="1" x14ac:dyDescent="0.25">
      <c r="B12" s="20" t="s">
        <v>17</v>
      </c>
      <c r="C12" s="21" t="s">
        <v>18</v>
      </c>
      <c r="D12" s="8" t="s">
        <v>19</v>
      </c>
      <c r="E12" s="8"/>
      <c r="F12" s="8"/>
      <c r="G12" s="8"/>
    </row>
    <row r="13" spans="2:7" ht="51.75" customHeight="1" x14ac:dyDescent="0.25">
      <c r="B13" s="20" t="s">
        <v>20</v>
      </c>
      <c r="C13" s="21" t="s">
        <v>21</v>
      </c>
      <c r="D13" s="8" t="s">
        <v>22</v>
      </c>
      <c r="E13" s="8"/>
      <c r="F13" s="8"/>
      <c r="G13" s="8"/>
    </row>
    <row r="14" spans="2:7" ht="37.5" customHeight="1" x14ac:dyDescent="0.25">
      <c r="B14" s="20" t="s">
        <v>23</v>
      </c>
      <c r="C14" s="21" t="s">
        <v>24</v>
      </c>
      <c r="D14" s="8" t="s">
        <v>25</v>
      </c>
      <c r="E14" s="8"/>
      <c r="F14" s="8"/>
      <c r="G14" s="8"/>
    </row>
    <row r="15" spans="2:7" ht="37.5" customHeight="1" x14ac:dyDescent="0.25">
      <c r="B15" s="20" t="s">
        <v>26</v>
      </c>
      <c r="C15" s="21" t="s">
        <v>27</v>
      </c>
      <c r="D15" s="8" t="s">
        <v>28</v>
      </c>
      <c r="E15" s="8"/>
      <c r="F15" s="8"/>
      <c r="G15" s="8"/>
    </row>
    <row r="16" spans="2:7" ht="37.5" customHeight="1" x14ac:dyDescent="0.25">
      <c r="B16" s="20" t="s">
        <v>29</v>
      </c>
      <c r="C16" s="21" t="s">
        <v>30</v>
      </c>
      <c r="D16" s="8" t="s">
        <v>31</v>
      </c>
      <c r="E16" s="8"/>
      <c r="F16" s="8"/>
      <c r="G16" s="8"/>
    </row>
    <row r="18" spans="2:7" ht="33.75" customHeight="1" x14ac:dyDescent="0.25">
      <c r="B18" s="7" t="s">
        <v>32</v>
      </c>
      <c r="C18" s="7"/>
      <c r="D18" s="7"/>
      <c r="E18" s="7"/>
      <c r="F18" s="7"/>
      <c r="G18" s="7"/>
    </row>
    <row r="20" spans="2:7" ht="25.5" customHeight="1" x14ac:dyDescent="0.25">
      <c r="B20" s="10" t="s">
        <v>33</v>
      </c>
      <c r="C20" s="10"/>
      <c r="D20" s="10"/>
      <c r="E20" s="10"/>
      <c r="F20" s="10"/>
      <c r="G20" s="10"/>
    </row>
    <row r="21" spans="2:7" ht="21.75" customHeight="1" x14ac:dyDescent="0.25">
      <c r="B21" s="23"/>
      <c r="C21" s="24" t="s">
        <v>34</v>
      </c>
      <c r="D21" s="8" t="s">
        <v>35</v>
      </c>
      <c r="E21" s="8"/>
      <c r="F21" s="8"/>
      <c r="G21" s="8"/>
    </row>
    <row r="22" spans="2:7" ht="21.75" customHeight="1" x14ac:dyDescent="0.25">
      <c r="B22" s="23"/>
      <c r="C22" s="24" t="s">
        <v>36</v>
      </c>
      <c r="D22" s="8" t="s">
        <v>37</v>
      </c>
      <c r="E22" s="8"/>
      <c r="F22" s="8"/>
      <c r="G22" s="8"/>
    </row>
    <row r="23" spans="2:7" ht="36" customHeight="1" x14ac:dyDescent="0.25">
      <c r="B23" s="23"/>
      <c r="C23" s="24" t="s">
        <v>38</v>
      </c>
      <c r="D23" s="8" t="s">
        <v>39</v>
      </c>
      <c r="E23" s="8"/>
      <c r="F23" s="8"/>
      <c r="G23" s="8"/>
    </row>
    <row r="24" spans="2:7" ht="21.75" customHeight="1" x14ac:dyDescent="0.25">
      <c r="B24" s="23"/>
      <c r="C24" s="24" t="s">
        <v>40</v>
      </c>
      <c r="D24" s="8" t="s">
        <v>41</v>
      </c>
      <c r="E24" s="8"/>
      <c r="F24" s="8"/>
      <c r="G24" s="8"/>
    </row>
    <row r="25" spans="2:7" ht="21.75" customHeight="1" x14ac:dyDescent="0.25">
      <c r="B25" s="23"/>
      <c r="C25" s="24" t="s">
        <v>42</v>
      </c>
      <c r="D25" s="8" t="s">
        <v>43</v>
      </c>
      <c r="E25" s="8"/>
      <c r="F25" s="8"/>
      <c r="G25" s="8"/>
    </row>
    <row r="26" spans="2:7" ht="21.75" customHeight="1" x14ac:dyDescent="0.25">
      <c r="B26" s="23"/>
      <c r="C26" s="24" t="s">
        <v>44</v>
      </c>
      <c r="D26" s="8" t="s">
        <v>45</v>
      </c>
      <c r="E26" s="8"/>
      <c r="F26" s="8"/>
      <c r="G26" s="8"/>
    </row>
    <row r="28" spans="2:7" ht="25.5" customHeight="1" x14ac:dyDescent="0.25">
      <c r="B28" s="10" t="s">
        <v>46</v>
      </c>
      <c r="C28" s="10"/>
      <c r="D28" s="10"/>
      <c r="E28" s="10"/>
      <c r="F28" s="10"/>
      <c r="G28" s="10"/>
    </row>
    <row r="29" spans="2:7" ht="19.5" customHeight="1" x14ac:dyDescent="0.25">
      <c r="B29" s="25" t="s">
        <v>47</v>
      </c>
      <c r="C29" s="25" t="s">
        <v>48</v>
      </c>
      <c r="D29" s="6" t="s">
        <v>49</v>
      </c>
      <c r="E29" s="6"/>
      <c r="F29" s="6"/>
      <c r="G29" s="6"/>
    </row>
    <row r="30" spans="2:7" ht="36" customHeight="1" x14ac:dyDescent="0.25">
      <c r="B30" s="26">
        <v>1</v>
      </c>
      <c r="C30" s="27" t="s">
        <v>50</v>
      </c>
      <c r="D30" s="5" t="s">
        <v>51</v>
      </c>
      <c r="E30" s="5"/>
      <c r="F30" s="5"/>
      <c r="G30" s="5"/>
    </row>
    <row r="31" spans="2:7" ht="36" customHeight="1" x14ac:dyDescent="0.25">
      <c r="B31" s="29">
        <v>2</v>
      </c>
      <c r="C31" s="21" t="s">
        <v>52</v>
      </c>
      <c r="D31" s="8" t="s">
        <v>53</v>
      </c>
      <c r="E31" s="8"/>
      <c r="F31" s="8"/>
      <c r="G31" s="8"/>
    </row>
    <row r="32" spans="2:7" ht="21.75" customHeight="1" x14ac:dyDescent="0.25">
      <c r="B32" s="26">
        <v>3</v>
      </c>
      <c r="C32" s="27" t="s">
        <v>54</v>
      </c>
      <c r="D32" s="5" t="s">
        <v>55</v>
      </c>
      <c r="E32" s="5"/>
      <c r="F32" s="5"/>
      <c r="G32" s="5"/>
    </row>
    <row r="33" spans="2:7" ht="21.75" customHeight="1" x14ac:dyDescent="0.25">
      <c r="B33" s="29">
        <v>4</v>
      </c>
      <c r="C33" s="21" t="s">
        <v>56</v>
      </c>
      <c r="D33" s="8" t="s">
        <v>57</v>
      </c>
      <c r="E33" s="8"/>
      <c r="F33" s="8"/>
      <c r="G33" s="8"/>
    </row>
    <row r="34" spans="2:7" ht="36" customHeight="1" x14ac:dyDescent="0.25">
      <c r="B34" s="26">
        <v>5</v>
      </c>
      <c r="C34" s="27" t="s">
        <v>58</v>
      </c>
      <c r="D34" s="5" t="s">
        <v>59</v>
      </c>
      <c r="E34" s="5"/>
      <c r="F34" s="5"/>
      <c r="G34" s="5"/>
    </row>
    <row r="35" spans="2:7" ht="21.75" customHeight="1" x14ac:dyDescent="0.25">
      <c r="B35" s="29">
        <v>6</v>
      </c>
      <c r="C35" s="21" t="s">
        <v>60</v>
      </c>
      <c r="D35" s="8" t="s">
        <v>61</v>
      </c>
      <c r="E35" s="8"/>
      <c r="F35" s="8"/>
      <c r="G35" s="8"/>
    </row>
    <row r="36" spans="2:7" ht="21.75" customHeight="1" x14ac:dyDescent="0.25">
      <c r="B36" s="26">
        <v>7</v>
      </c>
      <c r="C36" s="27" t="s">
        <v>62</v>
      </c>
      <c r="D36" s="5" t="s">
        <v>63</v>
      </c>
      <c r="E36" s="5"/>
      <c r="F36" s="5"/>
      <c r="G36" s="5"/>
    </row>
    <row r="37" spans="2:7" ht="21.75" customHeight="1" x14ac:dyDescent="0.25">
      <c r="B37" s="29">
        <v>8</v>
      </c>
      <c r="C37" s="21" t="s">
        <v>64</v>
      </c>
      <c r="D37" s="8" t="s">
        <v>65</v>
      </c>
      <c r="E37" s="8"/>
      <c r="F37" s="8"/>
      <c r="G37" s="8"/>
    </row>
    <row r="38" spans="2:7" ht="36" customHeight="1" x14ac:dyDescent="0.25">
      <c r="B38" s="26">
        <v>9</v>
      </c>
      <c r="C38" s="27" t="s">
        <v>66</v>
      </c>
      <c r="D38" s="5" t="s">
        <v>67</v>
      </c>
      <c r="E38" s="5"/>
      <c r="F38" s="5"/>
      <c r="G38" s="5"/>
    </row>
    <row r="39" spans="2:7" ht="36" customHeight="1" x14ac:dyDescent="0.25">
      <c r="B39" s="29">
        <v>10</v>
      </c>
      <c r="C39" s="21" t="s">
        <v>68</v>
      </c>
      <c r="D39" s="8" t="s">
        <v>69</v>
      </c>
      <c r="E39" s="8"/>
      <c r="F39" s="8"/>
      <c r="G39" s="8"/>
    </row>
    <row r="41" spans="2:7" ht="25.5" customHeight="1" x14ac:dyDescent="0.25">
      <c r="B41" s="10" t="s">
        <v>70</v>
      </c>
      <c r="C41" s="10"/>
      <c r="D41" s="10"/>
      <c r="E41" s="10"/>
      <c r="F41" s="10"/>
      <c r="G41" s="10"/>
    </row>
    <row r="42" spans="2:7" ht="36" customHeight="1" x14ac:dyDescent="0.25">
      <c r="B42" s="30">
        <v>1</v>
      </c>
      <c r="C42" s="31" t="s">
        <v>71</v>
      </c>
      <c r="D42" s="4" t="s">
        <v>72</v>
      </c>
      <c r="E42" s="4"/>
      <c r="F42" s="4"/>
      <c r="G42" s="4"/>
    </row>
    <row r="43" spans="2:7" ht="36" customHeight="1" x14ac:dyDescent="0.25">
      <c r="B43" s="30">
        <v>2</v>
      </c>
      <c r="C43" s="31" t="s">
        <v>73</v>
      </c>
      <c r="D43" s="4" t="s">
        <v>74</v>
      </c>
      <c r="E43" s="4"/>
      <c r="F43" s="4"/>
      <c r="G43" s="4"/>
    </row>
    <row r="44" spans="2:7" ht="21.75" customHeight="1" x14ac:dyDescent="0.25">
      <c r="B44" s="30">
        <v>3</v>
      </c>
      <c r="C44" s="31" t="s">
        <v>75</v>
      </c>
      <c r="D44" s="4" t="s">
        <v>76</v>
      </c>
      <c r="E44" s="4"/>
      <c r="F44" s="4"/>
      <c r="G44" s="4"/>
    </row>
    <row r="45" spans="2:7" ht="21.75" customHeight="1" x14ac:dyDescent="0.25">
      <c r="B45" s="30">
        <v>4</v>
      </c>
      <c r="C45" s="31" t="s">
        <v>77</v>
      </c>
      <c r="D45" s="4" t="s">
        <v>78</v>
      </c>
      <c r="E45" s="4"/>
      <c r="F45" s="4"/>
      <c r="G45" s="4"/>
    </row>
    <row r="46" spans="2:7" ht="21.75" customHeight="1" x14ac:dyDescent="0.25">
      <c r="B46" s="30">
        <v>5</v>
      </c>
      <c r="C46" s="31" t="s">
        <v>79</v>
      </c>
      <c r="D46" s="4" t="s">
        <v>80</v>
      </c>
      <c r="E46" s="4"/>
      <c r="F46" s="4"/>
      <c r="G46" s="4"/>
    </row>
    <row r="48" spans="2:7" ht="25.5" customHeight="1" x14ac:dyDescent="0.25">
      <c r="B48" s="10" t="s">
        <v>81</v>
      </c>
      <c r="C48" s="10"/>
      <c r="D48" s="10"/>
      <c r="E48" s="10"/>
      <c r="F48" s="10"/>
      <c r="G48" s="10"/>
    </row>
    <row r="49" spans="2:7" ht="21.75" customHeight="1" x14ac:dyDescent="0.25">
      <c r="B49" s="30">
        <v>1</v>
      </c>
      <c r="C49" s="31" t="s">
        <v>82</v>
      </c>
      <c r="D49" s="4" t="s">
        <v>83</v>
      </c>
      <c r="E49" s="4"/>
      <c r="F49" s="4"/>
      <c r="G49" s="4"/>
    </row>
    <row r="50" spans="2:7" ht="21.75" customHeight="1" x14ac:dyDescent="0.25">
      <c r="B50" s="30">
        <v>2</v>
      </c>
      <c r="C50" s="31" t="s">
        <v>84</v>
      </c>
      <c r="D50" s="4" t="s">
        <v>85</v>
      </c>
      <c r="E50" s="4"/>
      <c r="F50" s="4"/>
      <c r="G50" s="4"/>
    </row>
    <row r="51" spans="2:7" ht="21.75" customHeight="1" x14ac:dyDescent="0.25">
      <c r="B51" s="30">
        <v>3</v>
      </c>
      <c r="C51" s="31" t="s">
        <v>86</v>
      </c>
      <c r="D51" s="4" t="s">
        <v>87</v>
      </c>
      <c r="E51" s="4"/>
      <c r="F51" s="4"/>
      <c r="G51" s="4"/>
    </row>
    <row r="52" spans="2:7" ht="21.75" customHeight="1" x14ac:dyDescent="0.25">
      <c r="B52" s="30">
        <v>4</v>
      </c>
      <c r="C52" s="31" t="s">
        <v>88</v>
      </c>
      <c r="D52" s="4" t="s">
        <v>89</v>
      </c>
      <c r="E52" s="4"/>
      <c r="F52" s="4"/>
      <c r="G52" s="4"/>
    </row>
    <row r="53" spans="2:7" ht="21.75" customHeight="1" x14ac:dyDescent="0.25">
      <c r="B53" s="30">
        <v>5</v>
      </c>
      <c r="C53" s="31" t="s">
        <v>90</v>
      </c>
      <c r="D53" s="4" t="s">
        <v>91</v>
      </c>
      <c r="E53" s="4"/>
      <c r="F53" s="4"/>
      <c r="G53" s="4"/>
    </row>
    <row r="55" spans="2:7" ht="25.5" customHeight="1" x14ac:dyDescent="0.25">
      <c r="B55" s="10" t="s">
        <v>92</v>
      </c>
      <c r="C55" s="10"/>
      <c r="D55" s="10"/>
      <c r="E55" s="10"/>
      <c r="F55" s="10"/>
      <c r="G55" s="10"/>
    </row>
    <row r="56" spans="2:7" ht="21.75" customHeight="1" x14ac:dyDescent="0.25">
      <c r="B56" s="32">
        <v>1</v>
      </c>
      <c r="C56" s="31" t="s">
        <v>93</v>
      </c>
      <c r="D56" s="4" t="s">
        <v>94</v>
      </c>
      <c r="E56" s="4"/>
      <c r="F56" s="4"/>
      <c r="G56" s="4"/>
    </row>
    <row r="57" spans="2:7" ht="21.75" customHeight="1" x14ac:dyDescent="0.25">
      <c r="B57" s="33">
        <v>2</v>
      </c>
      <c r="C57" s="31" t="s">
        <v>95</v>
      </c>
      <c r="D57" s="4" t="s">
        <v>96</v>
      </c>
      <c r="E57" s="4"/>
      <c r="F57" s="4"/>
      <c r="G57" s="4"/>
    </row>
    <row r="58" spans="2:7" ht="36" customHeight="1" x14ac:dyDescent="0.25">
      <c r="B58" s="34">
        <v>3</v>
      </c>
      <c r="C58" s="31" t="s">
        <v>97</v>
      </c>
      <c r="D58" s="4" t="s">
        <v>98</v>
      </c>
      <c r="E58" s="4"/>
      <c r="F58" s="4"/>
      <c r="G58" s="4"/>
    </row>
    <row r="60" spans="2:7" ht="25.5" customHeight="1" x14ac:dyDescent="0.25">
      <c r="B60" s="10" t="s">
        <v>99</v>
      </c>
      <c r="C60" s="10"/>
      <c r="D60" s="10"/>
      <c r="E60" s="10"/>
      <c r="F60" s="10"/>
      <c r="G60" s="10"/>
    </row>
    <row r="61" spans="2:7" ht="21.75" customHeight="1" x14ac:dyDescent="0.25">
      <c r="B61" s="34" t="s">
        <v>100</v>
      </c>
      <c r="C61" s="31" t="s">
        <v>93</v>
      </c>
      <c r="D61" s="4" t="s">
        <v>101</v>
      </c>
      <c r="E61" s="4"/>
      <c r="F61" s="4"/>
      <c r="G61" s="4"/>
    </row>
    <row r="62" spans="2:7" ht="21.75" customHeight="1" x14ac:dyDescent="0.25">
      <c r="B62" s="33" t="s">
        <v>102</v>
      </c>
      <c r="C62" s="31" t="s">
        <v>95</v>
      </c>
      <c r="D62" s="4" t="s">
        <v>103</v>
      </c>
      <c r="E62" s="4"/>
      <c r="F62" s="4"/>
      <c r="G62" s="4"/>
    </row>
    <row r="63" spans="2:7" ht="21.75" customHeight="1" x14ac:dyDescent="0.25">
      <c r="B63" s="32" t="s">
        <v>104</v>
      </c>
      <c r="C63" s="31" t="s">
        <v>97</v>
      </c>
      <c r="D63" s="4" t="s">
        <v>105</v>
      </c>
      <c r="E63" s="4"/>
      <c r="F63" s="4"/>
      <c r="G63" s="4"/>
    </row>
    <row r="65" spans="2:7" ht="25.5" customHeight="1" x14ac:dyDescent="0.25">
      <c r="B65" s="10" t="s">
        <v>106</v>
      </c>
      <c r="C65" s="10"/>
      <c r="D65" s="10"/>
      <c r="E65" s="10"/>
      <c r="F65" s="10"/>
      <c r="G65" s="10"/>
    </row>
    <row r="66" spans="2:7" ht="21.75" customHeight="1" x14ac:dyDescent="0.25">
      <c r="B66" s="23"/>
      <c r="C66" s="21" t="s">
        <v>107</v>
      </c>
      <c r="D66" s="8" t="s">
        <v>108</v>
      </c>
      <c r="E66" s="8"/>
      <c r="F66" s="8"/>
      <c r="G66" s="8"/>
    </row>
    <row r="67" spans="2:7" ht="21.75" customHeight="1" x14ac:dyDescent="0.25">
      <c r="B67" s="23"/>
      <c r="C67" s="21" t="s">
        <v>109</v>
      </c>
      <c r="D67" s="8" t="s">
        <v>110</v>
      </c>
      <c r="E67" s="8"/>
      <c r="F67" s="8"/>
      <c r="G67" s="8"/>
    </row>
    <row r="68" spans="2:7" ht="21.75" customHeight="1" x14ac:dyDescent="0.25">
      <c r="B68" s="23"/>
      <c r="C68" s="21" t="s">
        <v>111</v>
      </c>
      <c r="D68" s="8" t="s">
        <v>112</v>
      </c>
      <c r="E68" s="8"/>
      <c r="F68" s="8"/>
      <c r="G68" s="8"/>
    </row>
    <row r="69" spans="2:7" ht="21.75" customHeight="1" x14ac:dyDescent="0.25">
      <c r="B69" s="23"/>
      <c r="C69" s="21" t="s">
        <v>113</v>
      </c>
      <c r="D69" s="8" t="s">
        <v>114</v>
      </c>
      <c r="E69" s="8"/>
      <c r="F69" s="8"/>
      <c r="G69" s="8"/>
    </row>
    <row r="70" spans="2:7" ht="21.75" customHeight="1" x14ac:dyDescent="0.25">
      <c r="B70" s="23"/>
      <c r="C70" s="21" t="s">
        <v>115</v>
      </c>
      <c r="D70" s="8" t="s">
        <v>116</v>
      </c>
      <c r="E70" s="8"/>
      <c r="F70" s="8"/>
      <c r="G70" s="8"/>
    </row>
    <row r="72" spans="2:7" ht="25.5" customHeight="1" x14ac:dyDescent="0.25">
      <c r="B72" s="10" t="s">
        <v>117</v>
      </c>
      <c r="C72" s="10"/>
      <c r="D72" s="10"/>
      <c r="E72" s="10"/>
      <c r="F72" s="10"/>
      <c r="G72" s="10"/>
    </row>
    <row r="73" spans="2:7" ht="30" customHeight="1" x14ac:dyDescent="0.25">
      <c r="B73" s="23"/>
      <c r="C73" s="31" t="s">
        <v>118</v>
      </c>
      <c r="D73" s="3" t="s">
        <v>119</v>
      </c>
      <c r="E73" s="3"/>
      <c r="F73" s="3"/>
      <c r="G73" s="3"/>
    </row>
    <row r="74" spans="2:7" ht="30" customHeight="1" x14ac:dyDescent="0.25">
      <c r="B74" s="23"/>
      <c r="C74" s="31" t="s">
        <v>120</v>
      </c>
      <c r="D74" s="3" t="s">
        <v>121</v>
      </c>
      <c r="E74" s="3"/>
      <c r="F74" s="3"/>
      <c r="G74" s="3"/>
    </row>
    <row r="75" spans="2:7" ht="30" customHeight="1" x14ac:dyDescent="0.25">
      <c r="B75" s="23"/>
      <c r="C75" s="31" t="s">
        <v>122</v>
      </c>
      <c r="D75" s="3" t="s">
        <v>123</v>
      </c>
      <c r="E75" s="3"/>
      <c r="F75" s="3"/>
      <c r="G75" s="3"/>
    </row>
  </sheetData>
  <mergeCells count="61">
    <mergeCell ref="D75:G75"/>
    <mergeCell ref="D69:G69"/>
    <mergeCell ref="D70:G70"/>
    <mergeCell ref="B72:G72"/>
    <mergeCell ref="D73:G73"/>
    <mergeCell ref="D74:G74"/>
    <mergeCell ref="D63:G63"/>
    <mergeCell ref="B65:G65"/>
    <mergeCell ref="D66:G66"/>
    <mergeCell ref="D67:G67"/>
    <mergeCell ref="D68:G68"/>
    <mergeCell ref="D57:G57"/>
    <mergeCell ref="D58:G58"/>
    <mergeCell ref="B60:G60"/>
    <mergeCell ref="D61:G61"/>
    <mergeCell ref="D62:G62"/>
    <mergeCell ref="D51:G51"/>
    <mergeCell ref="D52:G52"/>
    <mergeCell ref="D53:G53"/>
    <mergeCell ref="B55:G55"/>
    <mergeCell ref="D56:G56"/>
    <mergeCell ref="D45:G45"/>
    <mergeCell ref="D46:G46"/>
    <mergeCell ref="B48:G48"/>
    <mergeCell ref="D49:G49"/>
    <mergeCell ref="D50:G50"/>
    <mergeCell ref="D39:G39"/>
    <mergeCell ref="B41:G41"/>
    <mergeCell ref="D42:G42"/>
    <mergeCell ref="D43:G43"/>
    <mergeCell ref="D44:G44"/>
    <mergeCell ref="D34:G34"/>
    <mergeCell ref="D35:G35"/>
    <mergeCell ref="D36:G36"/>
    <mergeCell ref="D37:G37"/>
    <mergeCell ref="D38:G38"/>
    <mergeCell ref="D29:G29"/>
    <mergeCell ref="D30:G30"/>
    <mergeCell ref="D31:G31"/>
    <mergeCell ref="D32:G32"/>
    <mergeCell ref="D33:G33"/>
    <mergeCell ref="D23:G23"/>
    <mergeCell ref="D24:G24"/>
    <mergeCell ref="D25:G25"/>
    <mergeCell ref="D26:G26"/>
    <mergeCell ref="B28:G28"/>
    <mergeCell ref="D16:G16"/>
    <mergeCell ref="B18:G18"/>
    <mergeCell ref="B20:G20"/>
    <mergeCell ref="D21:G21"/>
    <mergeCell ref="D22:G22"/>
    <mergeCell ref="B11:G11"/>
    <mergeCell ref="D12:G12"/>
    <mergeCell ref="D13:G13"/>
    <mergeCell ref="D14:G14"/>
    <mergeCell ref="D15:G15"/>
    <mergeCell ref="B1:G1"/>
    <mergeCell ref="B2:G2"/>
    <mergeCell ref="B4:G4"/>
    <mergeCell ref="B5:G5"/>
    <mergeCell ref="B7:G7"/>
  </mergeCells>
  <hyperlinks>
    <hyperlink ref="D73" r:id="rId1" xr:uid="{00000000-0004-0000-0000-000000000000}"/>
    <hyperlink ref="D74" r:id="rId2" xr:uid="{00000000-0004-0000-0000-000001000000}"/>
    <hyperlink ref="D75" r:id="rId3" xr:uid="{00000000-0004-0000-0000-000002000000}"/>
  </hyperlinks>
  <pageMargins left="0.4" right="0.4" top="1" bottom="1" header="0.511811023622047" footer="0.5"/>
  <pageSetup paperSize="9" fitToHeight="0" orientation="portrait" horizontalDpi="300" verticalDpi="300"/>
  <headerFooter>
    <oddFooter>&amp;L&amp;8 NIS2 Risikovurdering · Kasper Mensink&amp;R&amp;8 &amp;A · side &amp;P af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2A44"/>
    <pageSetUpPr fitToPage="1"/>
  </sheetPr>
  <dimension ref="A1:T6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T1"/>
    </sheetView>
  </sheetViews>
  <sheetFormatPr defaultColWidth="8.7109375" defaultRowHeight="15" x14ac:dyDescent="0.25"/>
  <cols>
    <col min="1" max="1" width="28" customWidth="1"/>
    <col min="2" max="2" width="30" customWidth="1"/>
    <col min="3" max="3" width="21" customWidth="1"/>
    <col min="4" max="4" width="34" customWidth="1"/>
    <col min="5" max="5" width="11" customWidth="1"/>
    <col min="6" max="6" width="34" customWidth="1"/>
    <col min="7" max="7" width="11" customWidth="1"/>
    <col min="8" max="8" width="34" customWidth="1"/>
    <col min="9" max="11" width="10" customWidth="1"/>
    <col min="12" max="12" width="12" customWidth="1"/>
    <col min="13" max="13" width="36" customWidth="1"/>
    <col min="14" max="14" width="18" customWidth="1"/>
    <col min="15" max="16" width="11" customWidth="1"/>
    <col min="17" max="17" width="13" customWidth="1"/>
    <col min="18" max="18" width="38" customWidth="1"/>
    <col min="19" max="19" width="11" customWidth="1"/>
    <col min="20" max="20" width="32" customWidth="1"/>
  </cols>
  <sheetData>
    <row r="1" spans="1:20" ht="36" customHeight="1" x14ac:dyDescent="0.25">
      <c r="A1" s="12" t="s">
        <v>124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ht="19.5" customHeight="1" x14ac:dyDescent="0.25">
      <c r="A2" s="11" t="s">
        <v>125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ht="21.75" customHeight="1" x14ac:dyDescent="0.25">
      <c r="A3" s="35" t="s">
        <v>126</v>
      </c>
      <c r="B3" s="2"/>
      <c r="C3" s="2"/>
      <c r="D3" s="2"/>
      <c r="E3" s="1" t="s">
        <v>127</v>
      </c>
      <c r="F3" s="1"/>
      <c r="G3" s="2"/>
      <c r="H3" s="2"/>
      <c r="I3" s="1" t="s">
        <v>128</v>
      </c>
      <c r="J3" s="1"/>
      <c r="K3" s="2"/>
      <c r="L3" s="2"/>
      <c r="M3" s="37" t="s">
        <v>129</v>
      </c>
      <c r="N3" s="2"/>
      <c r="O3" s="2"/>
      <c r="P3" s="37" t="s">
        <v>130</v>
      </c>
      <c r="Q3" s="36"/>
      <c r="R3" s="79" t="s">
        <v>131</v>
      </c>
      <c r="S3" s="79"/>
      <c r="T3" s="79"/>
    </row>
    <row r="5" spans="1:20" ht="19.5" customHeight="1" x14ac:dyDescent="0.25">
      <c r="A5" s="80" t="s">
        <v>132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1" t="s">
        <v>133</v>
      </c>
      <c r="N5" s="81"/>
      <c r="O5" s="81"/>
      <c r="P5" s="81"/>
      <c r="Q5" s="81"/>
      <c r="R5" s="81"/>
      <c r="S5" s="81"/>
      <c r="T5" s="81"/>
    </row>
    <row r="6" spans="1:20" ht="43.5" customHeight="1" x14ac:dyDescent="0.25">
      <c r="A6" s="38" t="s">
        <v>134</v>
      </c>
      <c r="B6" s="38" t="s">
        <v>135</v>
      </c>
      <c r="C6" s="38" t="s">
        <v>113</v>
      </c>
      <c r="D6" s="38" t="s">
        <v>136</v>
      </c>
      <c r="E6" s="39" t="s">
        <v>137</v>
      </c>
      <c r="F6" s="38" t="s">
        <v>138</v>
      </c>
      <c r="G6" s="39" t="s">
        <v>139</v>
      </c>
      <c r="H6" s="38" t="s">
        <v>140</v>
      </c>
      <c r="I6" s="39" t="s">
        <v>141</v>
      </c>
      <c r="J6" s="39" t="s">
        <v>142</v>
      </c>
      <c r="K6" s="39" t="s">
        <v>143</v>
      </c>
      <c r="L6" s="39" t="s">
        <v>144</v>
      </c>
      <c r="M6" s="38" t="s">
        <v>145</v>
      </c>
      <c r="N6" s="38" t="s">
        <v>146</v>
      </c>
      <c r="O6" s="39" t="s">
        <v>147</v>
      </c>
      <c r="P6" s="39" t="s">
        <v>148</v>
      </c>
      <c r="Q6" s="39" t="s">
        <v>149</v>
      </c>
      <c r="R6" s="38" t="s">
        <v>150</v>
      </c>
      <c r="S6" s="39" t="s">
        <v>151</v>
      </c>
      <c r="T6" s="38" t="s">
        <v>152</v>
      </c>
    </row>
    <row r="7" spans="1:20" ht="19.5" customHeight="1" x14ac:dyDescent="0.25">
      <c r="A7" s="82" t="s">
        <v>153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</row>
    <row r="8" spans="1:20" ht="30" customHeight="1" x14ac:dyDescent="0.25">
      <c r="A8" s="40"/>
      <c r="B8" s="40"/>
      <c r="C8" s="40"/>
      <c r="D8" s="40"/>
      <c r="E8" s="41"/>
      <c r="F8" s="40"/>
      <c r="G8" s="41"/>
      <c r="H8" s="40"/>
      <c r="I8" s="42" t="str">
        <f t="shared" ref="I8:I15" si="0">IF(OR(E8="",G8=""),"",E8*G8)</f>
        <v/>
      </c>
      <c r="J8" s="42" t="str">
        <f t="shared" ref="J8:J15" si="1">IF(I8="","",IF(I8&lt;5,"Lav",IF(I8&lt;10,"Middel","Høj")))</f>
        <v/>
      </c>
      <c r="K8" s="41"/>
      <c r="L8" s="41"/>
      <c r="M8" s="40"/>
      <c r="N8" s="40"/>
      <c r="O8" s="41"/>
      <c r="P8" s="42" t="str">
        <f t="shared" ref="P8:P15" si="2">IF(O8="","",IF(O8&lt;5,"Lav",IF(O8&lt;10,"Middel","Høj")))</f>
        <v/>
      </c>
      <c r="Q8" s="41"/>
      <c r="R8" s="40"/>
      <c r="S8" s="41"/>
      <c r="T8" s="40"/>
    </row>
    <row r="9" spans="1:20" ht="30" customHeight="1" x14ac:dyDescent="0.25">
      <c r="A9" s="40"/>
      <c r="B9" s="40"/>
      <c r="C9" s="40"/>
      <c r="D9" s="40"/>
      <c r="E9" s="41"/>
      <c r="F9" s="40"/>
      <c r="G9" s="41"/>
      <c r="H9" s="40"/>
      <c r="I9" s="42" t="str">
        <f t="shared" si="0"/>
        <v/>
      </c>
      <c r="J9" s="42" t="str">
        <f t="shared" si="1"/>
        <v/>
      </c>
      <c r="K9" s="41"/>
      <c r="L9" s="41"/>
      <c r="M9" s="40"/>
      <c r="N9" s="40"/>
      <c r="O9" s="41"/>
      <c r="P9" s="42" t="str">
        <f t="shared" si="2"/>
        <v/>
      </c>
      <c r="Q9" s="41"/>
      <c r="R9" s="40"/>
      <c r="S9" s="41"/>
      <c r="T9" s="40"/>
    </row>
    <row r="10" spans="1:20" ht="30" customHeight="1" x14ac:dyDescent="0.25">
      <c r="A10" s="40"/>
      <c r="B10" s="40"/>
      <c r="C10" s="40"/>
      <c r="D10" s="40"/>
      <c r="E10" s="41"/>
      <c r="F10" s="40"/>
      <c r="G10" s="41"/>
      <c r="H10" s="40"/>
      <c r="I10" s="42" t="str">
        <f t="shared" si="0"/>
        <v/>
      </c>
      <c r="J10" s="42" t="str">
        <f t="shared" si="1"/>
        <v/>
      </c>
      <c r="K10" s="41"/>
      <c r="L10" s="41"/>
      <c r="M10" s="40"/>
      <c r="N10" s="40"/>
      <c r="O10" s="41"/>
      <c r="P10" s="42" t="str">
        <f t="shared" si="2"/>
        <v/>
      </c>
      <c r="Q10" s="41"/>
      <c r="R10" s="40"/>
      <c r="S10" s="41"/>
      <c r="T10" s="40"/>
    </row>
    <row r="11" spans="1:20" ht="30" customHeight="1" x14ac:dyDescent="0.25">
      <c r="A11" s="40"/>
      <c r="B11" s="40"/>
      <c r="C11" s="40"/>
      <c r="D11" s="40"/>
      <c r="E11" s="41"/>
      <c r="F11" s="40"/>
      <c r="G11" s="41"/>
      <c r="H11" s="40"/>
      <c r="I11" s="42" t="str">
        <f t="shared" si="0"/>
        <v/>
      </c>
      <c r="J11" s="42" t="str">
        <f t="shared" si="1"/>
        <v/>
      </c>
      <c r="K11" s="41"/>
      <c r="L11" s="41"/>
      <c r="M11" s="40"/>
      <c r="N11" s="40"/>
      <c r="O11" s="41"/>
      <c r="P11" s="42" t="str">
        <f t="shared" si="2"/>
        <v/>
      </c>
      <c r="Q11" s="41"/>
      <c r="R11" s="40"/>
      <c r="S11" s="41"/>
      <c r="T11" s="40"/>
    </row>
    <row r="12" spans="1:20" ht="30" customHeight="1" x14ac:dyDescent="0.25">
      <c r="A12" s="40"/>
      <c r="B12" s="40"/>
      <c r="C12" s="40"/>
      <c r="D12" s="40"/>
      <c r="E12" s="41"/>
      <c r="F12" s="40"/>
      <c r="G12" s="41"/>
      <c r="H12" s="40"/>
      <c r="I12" s="42" t="str">
        <f t="shared" si="0"/>
        <v/>
      </c>
      <c r="J12" s="42" t="str">
        <f t="shared" si="1"/>
        <v/>
      </c>
      <c r="K12" s="41"/>
      <c r="L12" s="41"/>
      <c r="M12" s="40"/>
      <c r="N12" s="40"/>
      <c r="O12" s="41"/>
      <c r="P12" s="42" t="str">
        <f t="shared" si="2"/>
        <v/>
      </c>
      <c r="Q12" s="41"/>
      <c r="R12" s="40"/>
      <c r="S12" s="41"/>
      <c r="T12" s="40"/>
    </row>
    <row r="13" spans="1:20" ht="30" customHeight="1" x14ac:dyDescent="0.25">
      <c r="A13" s="40"/>
      <c r="B13" s="40"/>
      <c r="C13" s="40"/>
      <c r="D13" s="40"/>
      <c r="E13" s="41"/>
      <c r="F13" s="40"/>
      <c r="G13" s="41"/>
      <c r="H13" s="40"/>
      <c r="I13" s="42" t="str">
        <f t="shared" si="0"/>
        <v/>
      </c>
      <c r="J13" s="42" t="str">
        <f t="shared" si="1"/>
        <v/>
      </c>
      <c r="K13" s="41"/>
      <c r="L13" s="41"/>
      <c r="M13" s="40"/>
      <c r="N13" s="40"/>
      <c r="O13" s="41"/>
      <c r="P13" s="42" t="str">
        <f t="shared" si="2"/>
        <v/>
      </c>
      <c r="Q13" s="41"/>
      <c r="R13" s="40"/>
      <c r="S13" s="41"/>
      <c r="T13" s="40"/>
    </row>
    <row r="14" spans="1:20" ht="30" customHeight="1" x14ac:dyDescent="0.25">
      <c r="A14" s="40"/>
      <c r="B14" s="40"/>
      <c r="C14" s="40"/>
      <c r="D14" s="40"/>
      <c r="E14" s="41"/>
      <c r="F14" s="40"/>
      <c r="G14" s="41"/>
      <c r="H14" s="40"/>
      <c r="I14" s="42" t="str">
        <f t="shared" si="0"/>
        <v/>
      </c>
      <c r="J14" s="42" t="str">
        <f t="shared" si="1"/>
        <v/>
      </c>
      <c r="K14" s="41"/>
      <c r="L14" s="41"/>
      <c r="M14" s="40"/>
      <c r="N14" s="40"/>
      <c r="O14" s="41"/>
      <c r="P14" s="42" t="str">
        <f t="shared" si="2"/>
        <v/>
      </c>
      <c r="Q14" s="41"/>
      <c r="R14" s="40"/>
      <c r="S14" s="41"/>
      <c r="T14" s="40"/>
    </row>
    <row r="15" spans="1:20" ht="30" customHeight="1" x14ac:dyDescent="0.25">
      <c r="A15" s="40"/>
      <c r="B15" s="40"/>
      <c r="C15" s="40"/>
      <c r="D15" s="40"/>
      <c r="E15" s="41"/>
      <c r="F15" s="40"/>
      <c r="G15" s="41"/>
      <c r="H15" s="40"/>
      <c r="I15" s="42" t="str">
        <f t="shared" si="0"/>
        <v/>
      </c>
      <c r="J15" s="42" t="str">
        <f t="shared" si="1"/>
        <v/>
      </c>
      <c r="K15" s="41"/>
      <c r="L15" s="41"/>
      <c r="M15" s="40"/>
      <c r="N15" s="40"/>
      <c r="O15" s="41"/>
      <c r="P15" s="42" t="str">
        <f t="shared" si="2"/>
        <v/>
      </c>
      <c r="Q15" s="41"/>
      <c r="R15" s="40"/>
      <c r="S15" s="41"/>
      <c r="T15" s="40"/>
    </row>
    <row r="16" spans="1:20" ht="19.5" customHeight="1" x14ac:dyDescent="0.25">
      <c r="A16" s="82" t="s">
        <v>154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</row>
    <row r="17" spans="1:20" ht="30" customHeight="1" x14ac:dyDescent="0.25">
      <c r="A17" s="40"/>
      <c r="B17" s="40"/>
      <c r="C17" s="40"/>
      <c r="D17" s="40"/>
      <c r="E17" s="41"/>
      <c r="F17" s="40"/>
      <c r="G17" s="41"/>
      <c r="H17" s="40"/>
      <c r="I17" s="42" t="str">
        <f t="shared" ref="I17:I24" si="3">IF(OR(E17="",G17=""),"",E17*G17)</f>
        <v/>
      </c>
      <c r="J17" s="42" t="str">
        <f t="shared" ref="J17:J24" si="4">IF(I17="","",IF(I17&lt;5,"Lav",IF(I17&lt;10,"Middel","Høj")))</f>
        <v/>
      </c>
      <c r="K17" s="41"/>
      <c r="L17" s="41"/>
      <c r="M17" s="40"/>
      <c r="N17" s="40"/>
      <c r="O17" s="41"/>
      <c r="P17" s="42" t="str">
        <f t="shared" ref="P17:P24" si="5">IF(O17="","",IF(O17&lt;5,"Lav",IF(O17&lt;10,"Middel","Høj")))</f>
        <v/>
      </c>
      <c r="Q17" s="41"/>
      <c r="R17" s="40"/>
      <c r="S17" s="41"/>
      <c r="T17" s="40"/>
    </row>
    <row r="18" spans="1:20" ht="30" customHeight="1" x14ac:dyDescent="0.25">
      <c r="A18" s="40"/>
      <c r="B18" s="40"/>
      <c r="C18" s="40"/>
      <c r="D18" s="40"/>
      <c r="E18" s="41"/>
      <c r="F18" s="40"/>
      <c r="G18" s="41"/>
      <c r="H18" s="40"/>
      <c r="I18" s="42" t="str">
        <f t="shared" si="3"/>
        <v/>
      </c>
      <c r="J18" s="42" t="str">
        <f t="shared" si="4"/>
        <v/>
      </c>
      <c r="K18" s="41"/>
      <c r="L18" s="41"/>
      <c r="M18" s="40"/>
      <c r="N18" s="40"/>
      <c r="O18" s="41"/>
      <c r="P18" s="42" t="str">
        <f t="shared" si="5"/>
        <v/>
      </c>
      <c r="Q18" s="41"/>
      <c r="R18" s="40"/>
      <c r="S18" s="41"/>
      <c r="T18" s="40"/>
    </row>
    <row r="19" spans="1:20" ht="30" customHeight="1" x14ac:dyDescent="0.25">
      <c r="A19" s="40"/>
      <c r="B19" s="40"/>
      <c r="C19" s="40"/>
      <c r="D19" s="40"/>
      <c r="E19" s="41"/>
      <c r="F19" s="40"/>
      <c r="G19" s="41"/>
      <c r="H19" s="40"/>
      <c r="I19" s="42" t="str">
        <f t="shared" si="3"/>
        <v/>
      </c>
      <c r="J19" s="42" t="str">
        <f t="shared" si="4"/>
        <v/>
      </c>
      <c r="K19" s="41"/>
      <c r="L19" s="41"/>
      <c r="M19" s="40"/>
      <c r="N19" s="40"/>
      <c r="O19" s="41"/>
      <c r="P19" s="42" t="str">
        <f t="shared" si="5"/>
        <v/>
      </c>
      <c r="Q19" s="41"/>
      <c r="R19" s="40"/>
      <c r="S19" s="41"/>
      <c r="T19" s="40"/>
    </row>
    <row r="20" spans="1:20" ht="30" customHeight="1" x14ac:dyDescent="0.25">
      <c r="A20" s="40"/>
      <c r="B20" s="40"/>
      <c r="C20" s="40"/>
      <c r="D20" s="40"/>
      <c r="E20" s="41"/>
      <c r="F20" s="40"/>
      <c r="G20" s="41"/>
      <c r="H20" s="40"/>
      <c r="I20" s="42" t="str">
        <f t="shared" si="3"/>
        <v/>
      </c>
      <c r="J20" s="42" t="str">
        <f t="shared" si="4"/>
        <v/>
      </c>
      <c r="K20" s="41"/>
      <c r="L20" s="41"/>
      <c r="M20" s="40"/>
      <c r="N20" s="40"/>
      <c r="O20" s="41"/>
      <c r="P20" s="42" t="str">
        <f t="shared" si="5"/>
        <v/>
      </c>
      <c r="Q20" s="41"/>
      <c r="R20" s="40"/>
      <c r="S20" s="41"/>
      <c r="T20" s="40"/>
    </row>
    <row r="21" spans="1:20" ht="30" customHeight="1" x14ac:dyDescent="0.25">
      <c r="A21" s="40"/>
      <c r="B21" s="40"/>
      <c r="C21" s="40"/>
      <c r="D21" s="40"/>
      <c r="E21" s="41"/>
      <c r="F21" s="40"/>
      <c r="G21" s="41"/>
      <c r="H21" s="40"/>
      <c r="I21" s="42" t="str">
        <f t="shared" si="3"/>
        <v/>
      </c>
      <c r="J21" s="42" t="str">
        <f t="shared" si="4"/>
        <v/>
      </c>
      <c r="K21" s="41"/>
      <c r="L21" s="41"/>
      <c r="M21" s="40"/>
      <c r="N21" s="40"/>
      <c r="O21" s="41"/>
      <c r="P21" s="42" t="str">
        <f t="shared" si="5"/>
        <v/>
      </c>
      <c r="Q21" s="41"/>
      <c r="R21" s="40"/>
      <c r="S21" s="41"/>
      <c r="T21" s="40"/>
    </row>
    <row r="22" spans="1:20" ht="30" customHeight="1" x14ac:dyDescent="0.25">
      <c r="A22" s="40"/>
      <c r="B22" s="40"/>
      <c r="C22" s="40"/>
      <c r="D22" s="40"/>
      <c r="E22" s="41"/>
      <c r="F22" s="40"/>
      <c r="G22" s="41"/>
      <c r="H22" s="40"/>
      <c r="I22" s="42" t="str">
        <f t="shared" si="3"/>
        <v/>
      </c>
      <c r="J22" s="42" t="str">
        <f t="shared" si="4"/>
        <v/>
      </c>
      <c r="K22" s="41"/>
      <c r="L22" s="41"/>
      <c r="M22" s="40"/>
      <c r="N22" s="40"/>
      <c r="O22" s="41"/>
      <c r="P22" s="42" t="str">
        <f t="shared" si="5"/>
        <v/>
      </c>
      <c r="Q22" s="41"/>
      <c r="R22" s="40"/>
      <c r="S22" s="41"/>
      <c r="T22" s="40"/>
    </row>
    <row r="23" spans="1:20" ht="30" customHeight="1" x14ac:dyDescent="0.25">
      <c r="A23" s="40"/>
      <c r="B23" s="40"/>
      <c r="C23" s="40"/>
      <c r="D23" s="40"/>
      <c r="E23" s="41"/>
      <c r="F23" s="40"/>
      <c r="G23" s="41"/>
      <c r="H23" s="40"/>
      <c r="I23" s="42" t="str">
        <f t="shared" si="3"/>
        <v/>
      </c>
      <c r="J23" s="42" t="str">
        <f t="shared" si="4"/>
        <v/>
      </c>
      <c r="K23" s="41"/>
      <c r="L23" s="41"/>
      <c r="M23" s="40"/>
      <c r="N23" s="40"/>
      <c r="O23" s="41"/>
      <c r="P23" s="42" t="str">
        <f t="shared" si="5"/>
        <v/>
      </c>
      <c r="Q23" s="41"/>
      <c r="R23" s="40"/>
      <c r="S23" s="41"/>
      <c r="T23" s="40"/>
    </row>
    <row r="24" spans="1:20" ht="30" customHeight="1" x14ac:dyDescent="0.25">
      <c r="A24" s="40"/>
      <c r="B24" s="40"/>
      <c r="C24" s="40"/>
      <c r="D24" s="40"/>
      <c r="E24" s="41"/>
      <c r="F24" s="40"/>
      <c r="G24" s="41"/>
      <c r="H24" s="40"/>
      <c r="I24" s="42" t="str">
        <f t="shared" si="3"/>
        <v/>
      </c>
      <c r="J24" s="42" t="str">
        <f t="shared" si="4"/>
        <v/>
      </c>
      <c r="K24" s="41"/>
      <c r="L24" s="41"/>
      <c r="M24" s="40"/>
      <c r="N24" s="40"/>
      <c r="O24" s="41"/>
      <c r="P24" s="42" t="str">
        <f t="shared" si="5"/>
        <v/>
      </c>
      <c r="Q24" s="41"/>
      <c r="R24" s="40"/>
      <c r="S24" s="41"/>
      <c r="T24" s="40"/>
    </row>
    <row r="25" spans="1:20" ht="19.5" customHeight="1" x14ac:dyDescent="0.25">
      <c r="A25" s="82" t="s">
        <v>155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</row>
    <row r="26" spans="1:20" ht="30" customHeight="1" x14ac:dyDescent="0.25">
      <c r="A26" s="40"/>
      <c r="B26" s="40"/>
      <c r="C26" s="40"/>
      <c r="D26" s="40"/>
      <c r="E26" s="41"/>
      <c r="F26" s="40"/>
      <c r="G26" s="41"/>
      <c r="H26" s="40"/>
      <c r="I26" s="42" t="str">
        <f t="shared" ref="I26:I33" si="6">IF(OR(E26="",G26=""),"",E26*G26)</f>
        <v/>
      </c>
      <c r="J26" s="42" t="str">
        <f t="shared" ref="J26:J33" si="7">IF(I26="","",IF(I26&lt;5,"Lav",IF(I26&lt;10,"Middel","Høj")))</f>
        <v/>
      </c>
      <c r="K26" s="41"/>
      <c r="L26" s="41"/>
      <c r="M26" s="40"/>
      <c r="N26" s="40"/>
      <c r="O26" s="41"/>
      <c r="P26" s="42" t="str">
        <f t="shared" ref="P26:P33" si="8">IF(O26="","",IF(O26&lt;5,"Lav",IF(O26&lt;10,"Middel","Høj")))</f>
        <v/>
      </c>
      <c r="Q26" s="41"/>
      <c r="R26" s="40"/>
      <c r="S26" s="41"/>
      <c r="T26" s="40"/>
    </row>
    <row r="27" spans="1:20" ht="30" customHeight="1" x14ac:dyDescent="0.25">
      <c r="A27" s="40"/>
      <c r="B27" s="40"/>
      <c r="C27" s="40"/>
      <c r="D27" s="40"/>
      <c r="E27" s="41"/>
      <c r="F27" s="40"/>
      <c r="G27" s="41"/>
      <c r="H27" s="40"/>
      <c r="I27" s="42" t="str">
        <f t="shared" si="6"/>
        <v/>
      </c>
      <c r="J27" s="42" t="str">
        <f t="shared" si="7"/>
        <v/>
      </c>
      <c r="K27" s="41"/>
      <c r="L27" s="41"/>
      <c r="M27" s="40"/>
      <c r="N27" s="40"/>
      <c r="O27" s="41"/>
      <c r="P27" s="42" t="str">
        <f t="shared" si="8"/>
        <v/>
      </c>
      <c r="Q27" s="41"/>
      <c r="R27" s="40"/>
      <c r="S27" s="41"/>
      <c r="T27" s="40"/>
    </row>
    <row r="28" spans="1:20" ht="30" customHeight="1" x14ac:dyDescent="0.25">
      <c r="A28" s="40"/>
      <c r="B28" s="40"/>
      <c r="C28" s="40"/>
      <c r="D28" s="40"/>
      <c r="E28" s="41"/>
      <c r="F28" s="40"/>
      <c r="G28" s="41"/>
      <c r="H28" s="40"/>
      <c r="I28" s="42" t="str">
        <f t="shared" si="6"/>
        <v/>
      </c>
      <c r="J28" s="42" t="str">
        <f t="shared" si="7"/>
        <v/>
      </c>
      <c r="K28" s="41"/>
      <c r="L28" s="41"/>
      <c r="M28" s="40"/>
      <c r="N28" s="40"/>
      <c r="O28" s="41"/>
      <c r="P28" s="42" t="str">
        <f t="shared" si="8"/>
        <v/>
      </c>
      <c r="Q28" s="41"/>
      <c r="R28" s="40"/>
      <c r="S28" s="41"/>
      <c r="T28" s="40"/>
    </row>
    <row r="29" spans="1:20" ht="30" customHeight="1" x14ac:dyDescent="0.25">
      <c r="A29" s="40"/>
      <c r="B29" s="40"/>
      <c r="C29" s="40"/>
      <c r="D29" s="40"/>
      <c r="E29" s="41"/>
      <c r="F29" s="40"/>
      <c r="G29" s="41"/>
      <c r="H29" s="40"/>
      <c r="I29" s="42" t="str">
        <f t="shared" si="6"/>
        <v/>
      </c>
      <c r="J29" s="42" t="str">
        <f t="shared" si="7"/>
        <v/>
      </c>
      <c r="K29" s="41"/>
      <c r="L29" s="41"/>
      <c r="M29" s="40"/>
      <c r="N29" s="40"/>
      <c r="O29" s="41"/>
      <c r="P29" s="42" t="str">
        <f t="shared" si="8"/>
        <v/>
      </c>
      <c r="Q29" s="41"/>
      <c r="R29" s="40"/>
      <c r="S29" s="41"/>
      <c r="T29" s="40"/>
    </row>
    <row r="30" spans="1:20" ht="30" customHeight="1" x14ac:dyDescent="0.25">
      <c r="A30" s="40"/>
      <c r="B30" s="40"/>
      <c r="C30" s="40"/>
      <c r="D30" s="40"/>
      <c r="E30" s="41"/>
      <c r="F30" s="40"/>
      <c r="G30" s="41"/>
      <c r="H30" s="40"/>
      <c r="I30" s="42" t="str">
        <f t="shared" si="6"/>
        <v/>
      </c>
      <c r="J30" s="42" t="str">
        <f t="shared" si="7"/>
        <v/>
      </c>
      <c r="K30" s="41"/>
      <c r="L30" s="41"/>
      <c r="M30" s="40"/>
      <c r="N30" s="40"/>
      <c r="O30" s="41"/>
      <c r="P30" s="42" t="str">
        <f t="shared" si="8"/>
        <v/>
      </c>
      <c r="Q30" s="41"/>
      <c r="R30" s="40"/>
      <c r="S30" s="41"/>
      <c r="T30" s="40"/>
    </row>
    <row r="31" spans="1:20" ht="30" customHeight="1" x14ac:dyDescent="0.25">
      <c r="A31" s="40"/>
      <c r="B31" s="40"/>
      <c r="C31" s="40"/>
      <c r="D31" s="40"/>
      <c r="E31" s="41"/>
      <c r="F31" s="40"/>
      <c r="G31" s="41"/>
      <c r="H31" s="40"/>
      <c r="I31" s="42" t="str">
        <f t="shared" si="6"/>
        <v/>
      </c>
      <c r="J31" s="42" t="str">
        <f t="shared" si="7"/>
        <v/>
      </c>
      <c r="K31" s="41"/>
      <c r="L31" s="41"/>
      <c r="M31" s="40"/>
      <c r="N31" s="40"/>
      <c r="O31" s="41"/>
      <c r="P31" s="42" t="str">
        <f t="shared" si="8"/>
        <v/>
      </c>
      <c r="Q31" s="41"/>
      <c r="R31" s="40"/>
      <c r="S31" s="41"/>
      <c r="T31" s="40"/>
    </row>
    <row r="32" spans="1:20" ht="30" customHeight="1" x14ac:dyDescent="0.25">
      <c r="A32" s="40"/>
      <c r="B32" s="40"/>
      <c r="C32" s="40"/>
      <c r="D32" s="40"/>
      <c r="E32" s="41"/>
      <c r="F32" s="40"/>
      <c r="G32" s="41"/>
      <c r="H32" s="40"/>
      <c r="I32" s="42" t="str">
        <f t="shared" si="6"/>
        <v/>
      </c>
      <c r="J32" s="42" t="str">
        <f t="shared" si="7"/>
        <v/>
      </c>
      <c r="K32" s="41"/>
      <c r="L32" s="41"/>
      <c r="M32" s="40"/>
      <c r="N32" s="40"/>
      <c r="O32" s="41"/>
      <c r="P32" s="42" t="str">
        <f t="shared" si="8"/>
        <v/>
      </c>
      <c r="Q32" s="41"/>
      <c r="R32" s="40"/>
      <c r="S32" s="41"/>
      <c r="T32" s="40"/>
    </row>
    <row r="33" spans="1:20" ht="30" customHeight="1" x14ac:dyDescent="0.25">
      <c r="A33" s="40"/>
      <c r="B33" s="40"/>
      <c r="C33" s="40"/>
      <c r="D33" s="40"/>
      <c r="E33" s="41"/>
      <c r="F33" s="40"/>
      <c r="G33" s="41"/>
      <c r="H33" s="40"/>
      <c r="I33" s="42" t="str">
        <f t="shared" si="6"/>
        <v/>
      </c>
      <c r="J33" s="42" t="str">
        <f t="shared" si="7"/>
        <v/>
      </c>
      <c r="K33" s="41"/>
      <c r="L33" s="41"/>
      <c r="M33" s="40"/>
      <c r="N33" s="40"/>
      <c r="O33" s="41"/>
      <c r="P33" s="42" t="str">
        <f t="shared" si="8"/>
        <v/>
      </c>
      <c r="Q33" s="41"/>
      <c r="R33" s="40"/>
      <c r="S33" s="41"/>
      <c r="T33" s="40"/>
    </row>
    <row r="34" spans="1:20" ht="19.5" customHeight="1" x14ac:dyDescent="0.25">
      <c r="A34" s="82" t="s">
        <v>156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0" ht="30" customHeight="1" x14ac:dyDescent="0.25">
      <c r="A35" s="40"/>
      <c r="B35" s="40"/>
      <c r="C35" s="40"/>
      <c r="D35" s="40"/>
      <c r="E35" s="41"/>
      <c r="F35" s="40"/>
      <c r="G35" s="41"/>
      <c r="H35" s="40"/>
      <c r="I35" s="42" t="str">
        <f t="shared" ref="I35:I42" si="9">IF(OR(E35="",G35=""),"",E35*G35)</f>
        <v/>
      </c>
      <c r="J35" s="42" t="str">
        <f t="shared" ref="J35:J42" si="10">IF(I35="","",IF(I35&lt;5,"Lav",IF(I35&lt;10,"Middel","Høj")))</f>
        <v/>
      </c>
      <c r="K35" s="41"/>
      <c r="L35" s="41"/>
      <c r="M35" s="40"/>
      <c r="N35" s="40"/>
      <c r="O35" s="41"/>
      <c r="P35" s="42" t="str">
        <f t="shared" ref="P35:P42" si="11">IF(O35="","",IF(O35&lt;5,"Lav",IF(O35&lt;10,"Middel","Høj")))</f>
        <v/>
      </c>
      <c r="Q35" s="41"/>
      <c r="R35" s="40"/>
      <c r="S35" s="41"/>
      <c r="T35" s="40"/>
    </row>
    <row r="36" spans="1:20" ht="30" customHeight="1" x14ac:dyDescent="0.25">
      <c r="A36" s="40"/>
      <c r="B36" s="40"/>
      <c r="C36" s="40"/>
      <c r="D36" s="40"/>
      <c r="E36" s="41"/>
      <c r="F36" s="40"/>
      <c r="G36" s="41"/>
      <c r="H36" s="40"/>
      <c r="I36" s="42" t="str">
        <f t="shared" si="9"/>
        <v/>
      </c>
      <c r="J36" s="42" t="str">
        <f t="shared" si="10"/>
        <v/>
      </c>
      <c r="K36" s="41"/>
      <c r="L36" s="41"/>
      <c r="M36" s="40"/>
      <c r="N36" s="40"/>
      <c r="O36" s="41"/>
      <c r="P36" s="42" t="str">
        <f t="shared" si="11"/>
        <v/>
      </c>
      <c r="Q36" s="41"/>
      <c r="R36" s="40"/>
      <c r="S36" s="41"/>
      <c r="T36" s="40"/>
    </row>
    <row r="37" spans="1:20" ht="30" customHeight="1" x14ac:dyDescent="0.25">
      <c r="A37" s="40"/>
      <c r="B37" s="40"/>
      <c r="C37" s="40"/>
      <c r="D37" s="40"/>
      <c r="E37" s="41"/>
      <c r="F37" s="40"/>
      <c r="G37" s="41"/>
      <c r="H37" s="40"/>
      <c r="I37" s="42" t="str">
        <f t="shared" si="9"/>
        <v/>
      </c>
      <c r="J37" s="42" t="str">
        <f t="shared" si="10"/>
        <v/>
      </c>
      <c r="K37" s="41"/>
      <c r="L37" s="41"/>
      <c r="M37" s="40"/>
      <c r="N37" s="40"/>
      <c r="O37" s="41"/>
      <c r="P37" s="42" t="str">
        <f t="shared" si="11"/>
        <v/>
      </c>
      <c r="Q37" s="41"/>
      <c r="R37" s="40"/>
      <c r="S37" s="41"/>
      <c r="T37" s="40"/>
    </row>
    <row r="38" spans="1:20" ht="30" customHeight="1" x14ac:dyDescent="0.25">
      <c r="A38" s="40"/>
      <c r="B38" s="40"/>
      <c r="C38" s="40"/>
      <c r="D38" s="40"/>
      <c r="E38" s="41"/>
      <c r="F38" s="40"/>
      <c r="G38" s="41"/>
      <c r="H38" s="40"/>
      <c r="I38" s="42" t="str">
        <f t="shared" si="9"/>
        <v/>
      </c>
      <c r="J38" s="42" t="str">
        <f t="shared" si="10"/>
        <v/>
      </c>
      <c r="K38" s="41"/>
      <c r="L38" s="41"/>
      <c r="M38" s="40"/>
      <c r="N38" s="40"/>
      <c r="O38" s="41"/>
      <c r="P38" s="42" t="str">
        <f t="shared" si="11"/>
        <v/>
      </c>
      <c r="Q38" s="41"/>
      <c r="R38" s="40"/>
      <c r="S38" s="41"/>
      <c r="T38" s="40"/>
    </row>
    <row r="39" spans="1:20" ht="30" customHeight="1" x14ac:dyDescent="0.25">
      <c r="A39" s="40"/>
      <c r="B39" s="40"/>
      <c r="C39" s="40"/>
      <c r="D39" s="40"/>
      <c r="E39" s="41"/>
      <c r="F39" s="40"/>
      <c r="G39" s="41"/>
      <c r="H39" s="40"/>
      <c r="I39" s="42" t="str">
        <f t="shared" si="9"/>
        <v/>
      </c>
      <c r="J39" s="42" t="str">
        <f t="shared" si="10"/>
        <v/>
      </c>
      <c r="K39" s="41"/>
      <c r="L39" s="41"/>
      <c r="M39" s="40"/>
      <c r="N39" s="40"/>
      <c r="O39" s="41"/>
      <c r="P39" s="42" t="str">
        <f t="shared" si="11"/>
        <v/>
      </c>
      <c r="Q39" s="41"/>
      <c r="R39" s="40"/>
      <c r="S39" s="41"/>
      <c r="T39" s="40"/>
    </row>
    <row r="40" spans="1:20" ht="30" customHeight="1" x14ac:dyDescent="0.25">
      <c r="A40" s="40"/>
      <c r="B40" s="40"/>
      <c r="C40" s="40"/>
      <c r="D40" s="40"/>
      <c r="E40" s="41"/>
      <c r="F40" s="40"/>
      <c r="G40" s="41"/>
      <c r="H40" s="40"/>
      <c r="I40" s="42" t="str">
        <f t="shared" si="9"/>
        <v/>
      </c>
      <c r="J40" s="42" t="str">
        <f t="shared" si="10"/>
        <v/>
      </c>
      <c r="K40" s="41"/>
      <c r="L40" s="41"/>
      <c r="M40" s="40"/>
      <c r="N40" s="40"/>
      <c r="O40" s="41"/>
      <c r="P40" s="42" t="str">
        <f t="shared" si="11"/>
        <v/>
      </c>
      <c r="Q40" s="41"/>
      <c r="R40" s="40"/>
      <c r="S40" s="41"/>
      <c r="T40" s="40"/>
    </row>
    <row r="41" spans="1:20" ht="30" customHeight="1" x14ac:dyDescent="0.25">
      <c r="A41" s="40"/>
      <c r="B41" s="40"/>
      <c r="C41" s="40"/>
      <c r="D41" s="40"/>
      <c r="E41" s="41"/>
      <c r="F41" s="40"/>
      <c r="G41" s="41"/>
      <c r="H41" s="40"/>
      <c r="I41" s="42" t="str">
        <f t="shared" si="9"/>
        <v/>
      </c>
      <c r="J41" s="42" t="str">
        <f t="shared" si="10"/>
        <v/>
      </c>
      <c r="K41" s="41"/>
      <c r="L41" s="41"/>
      <c r="M41" s="40"/>
      <c r="N41" s="40"/>
      <c r="O41" s="41"/>
      <c r="P41" s="42" t="str">
        <f t="shared" si="11"/>
        <v/>
      </c>
      <c r="Q41" s="41"/>
      <c r="R41" s="40"/>
      <c r="S41" s="41"/>
      <c r="T41" s="40"/>
    </row>
    <row r="42" spans="1:20" ht="30" customHeight="1" x14ac:dyDescent="0.25">
      <c r="A42" s="40"/>
      <c r="B42" s="40"/>
      <c r="C42" s="40"/>
      <c r="D42" s="40"/>
      <c r="E42" s="41"/>
      <c r="F42" s="40"/>
      <c r="G42" s="41"/>
      <c r="H42" s="40"/>
      <c r="I42" s="42" t="str">
        <f t="shared" si="9"/>
        <v/>
      </c>
      <c r="J42" s="42" t="str">
        <f t="shared" si="10"/>
        <v/>
      </c>
      <c r="K42" s="41"/>
      <c r="L42" s="41"/>
      <c r="M42" s="40"/>
      <c r="N42" s="40"/>
      <c r="O42" s="41"/>
      <c r="P42" s="42" t="str">
        <f t="shared" si="11"/>
        <v/>
      </c>
      <c r="Q42" s="41"/>
      <c r="R42" s="40"/>
      <c r="S42" s="41"/>
      <c r="T42" s="40"/>
    </row>
    <row r="43" spans="1:20" ht="19.5" customHeight="1" x14ac:dyDescent="0.25">
      <c r="A43" s="82" t="s">
        <v>157</v>
      </c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</row>
    <row r="44" spans="1:20" ht="30" customHeight="1" x14ac:dyDescent="0.25">
      <c r="A44" s="40"/>
      <c r="B44" s="40"/>
      <c r="C44" s="40"/>
      <c r="D44" s="40"/>
      <c r="E44" s="41"/>
      <c r="F44" s="40"/>
      <c r="G44" s="41"/>
      <c r="H44" s="40"/>
      <c r="I44" s="42" t="str">
        <f t="shared" ref="I44:I51" si="12">IF(OR(E44="",G44=""),"",E44*G44)</f>
        <v/>
      </c>
      <c r="J44" s="42" t="str">
        <f t="shared" ref="J44:J51" si="13">IF(I44="","",IF(I44&lt;5,"Lav",IF(I44&lt;10,"Middel","Høj")))</f>
        <v/>
      </c>
      <c r="K44" s="41"/>
      <c r="L44" s="41"/>
      <c r="M44" s="40"/>
      <c r="N44" s="40"/>
      <c r="O44" s="41"/>
      <c r="P44" s="42" t="str">
        <f t="shared" ref="P44:P51" si="14">IF(O44="","",IF(O44&lt;5,"Lav",IF(O44&lt;10,"Middel","Høj")))</f>
        <v/>
      </c>
      <c r="Q44" s="41"/>
      <c r="R44" s="40"/>
      <c r="S44" s="41"/>
      <c r="T44" s="40"/>
    </row>
    <row r="45" spans="1:20" ht="30" customHeight="1" x14ac:dyDescent="0.25">
      <c r="A45" s="40"/>
      <c r="B45" s="40"/>
      <c r="C45" s="40"/>
      <c r="D45" s="40"/>
      <c r="E45" s="41"/>
      <c r="F45" s="40"/>
      <c r="G45" s="41"/>
      <c r="H45" s="40"/>
      <c r="I45" s="42" t="str">
        <f t="shared" si="12"/>
        <v/>
      </c>
      <c r="J45" s="42" t="str">
        <f t="shared" si="13"/>
        <v/>
      </c>
      <c r="K45" s="41"/>
      <c r="L45" s="41"/>
      <c r="M45" s="40"/>
      <c r="N45" s="40"/>
      <c r="O45" s="41"/>
      <c r="P45" s="42" t="str">
        <f t="shared" si="14"/>
        <v/>
      </c>
      <c r="Q45" s="41"/>
      <c r="R45" s="40"/>
      <c r="S45" s="41"/>
      <c r="T45" s="40"/>
    </row>
    <row r="46" spans="1:20" ht="30" customHeight="1" x14ac:dyDescent="0.25">
      <c r="A46" s="40"/>
      <c r="B46" s="40"/>
      <c r="C46" s="40"/>
      <c r="D46" s="40"/>
      <c r="E46" s="41"/>
      <c r="F46" s="40"/>
      <c r="G46" s="41"/>
      <c r="H46" s="40"/>
      <c r="I46" s="42" t="str">
        <f t="shared" si="12"/>
        <v/>
      </c>
      <c r="J46" s="42" t="str">
        <f t="shared" si="13"/>
        <v/>
      </c>
      <c r="K46" s="41"/>
      <c r="L46" s="41"/>
      <c r="M46" s="40"/>
      <c r="N46" s="40"/>
      <c r="O46" s="41"/>
      <c r="P46" s="42" t="str">
        <f t="shared" si="14"/>
        <v/>
      </c>
      <c r="Q46" s="41"/>
      <c r="R46" s="40"/>
      <c r="S46" s="41"/>
      <c r="T46" s="40"/>
    </row>
    <row r="47" spans="1:20" ht="30" customHeight="1" x14ac:dyDescent="0.25">
      <c r="A47" s="40"/>
      <c r="B47" s="40"/>
      <c r="C47" s="40"/>
      <c r="D47" s="40"/>
      <c r="E47" s="41"/>
      <c r="F47" s="40"/>
      <c r="G47" s="41"/>
      <c r="H47" s="40"/>
      <c r="I47" s="42" t="str">
        <f t="shared" si="12"/>
        <v/>
      </c>
      <c r="J47" s="42" t="str">
        <f t="shared" si="13"/>
        <v/>
      </c>
      <c r="K47" s="41"/>
      <c r="L47" s="41"/>
      <c r="M47" s="40"/>
      <c r="N47" s="40"/>
      <c r="O47" s="41"/>
      <c r="P47" s="42" t="str">
        <f t="shared" si="14"/>
        <v/>
      </c>
      <c r="Q47" s="41"/>
      <c r="R47" s="40"/>
      <c r="S47" s="41"/>
      <c r="T47" s="40"/>
    </row>
    <row r="48" spans="1:20" ht="30" customHeight="1" x14ac:dyDescent="0.25">
      <c r="A48" s="40"/>
      <c r="B48" s="40"/>
      <c r="C48" s="40"/>
      <c r="D48" s="40"/>
      <c r="E48" s="41"/>
      <c r="F48" s="40"/>
      <c r="G48" s="41"/>
      <c r="H48" s="40"/>
      <c r="I48" s="42" t="str">
        <f t="shared" si="12"/>
        <v/>
      </c>
      <c r="J48" s="42" t="str">
        <f t="shared" si="13"/>
        <v/>
      </c>
      <c r="K48" s="41"/>
      <c r="L48" s="41"/>
      <c r="M48" s="40"/>
      <c r="N48" s="40"/>
      <c r="O48" s="41"/>
      <c r="P48" s="42" t="str">
        <f t="shared" si="14"/>
        <v/>
      </c>
      <c r="Q48" s="41"/>
      <c r="R48" s="40"/>
      <c r="S48" s="41"/>
      <c r="T48" s="40"/>
    </row>
    <row r="49" spans="1:20" ht="30" customHeight="1" x14ac:dyDescent="0.25">
      <c r="A49" s="40"/>
      <c r="B49" s="40"/>
      <c r="C49" s="40"/>
      <c r="D49" s="40"/>
      <c r="E49" s="41"/>
      <c r="F49" s="40"/>
      <c r="G49" s="41"/>
      <c r="H49" s="40"/>
      <c r="I49" s="42" t="str">
        <f t="shared" si="12"/>
        <v/>
      </c>
      <c r="J49" s="42" t="str">
        <f t="shared" si="13"/>
        <v/>
      </c>
      <c r="K49" s="41"/>
      <c r="L49" s="41"/>
      <c r="M49" s="40"/>
      <c r="N49" s="40"/>
      <c r="O49" s="41"/>
      <c r="P49" s="42" t="str">
        <f t="shared" si="14"/>
        <v/>
      </c>
      <c r="Q49" s="41"/>
      <c r="R49" s="40"/>
      <c r="S49" s="41"/>
      <c r="T49" s="40"/>
    </row>
    <row r="50" spans="1:20" ht="30" customHeight="1" x14ac:dyDescent="0.25">
      <c r="A50" s="40"/>
      <c r="B50" s="40"/>
      <c r="C50" s="40"/>
      <c r="D50" s="40"/>
      <c r="E50" s="41"/>
      <c r="F50" s="40"/>
      <c r="G50" s="41"/>
      <c r="H50" s="40"/>
      <c r="I50" s="42" t="str">
        <f t="shared" si="12"/>
        <v/>
      </c>
      <c r="J50" s="42" t="str">
        <f t="shared" si="13"/>
        <v/>
      </c>
      <c r="K50" s="41"/>
      <c r="L50" s="41"/>
      <c r="M50" s="40"/>
      <c r="N50" s="40"/>
      <c r="O50" s="41"/>
      <c r="P50" s="42" t="str">
        <f t="shared" si="14"/>
        <v/>
      </c>
      <c r="Q50" s="41"/>
      <c r="R50" s="40"/>
      <c r="S50" s="41"/>
      <c r="T50" s="40"/>
    </row>
    <row r="51" spans="1:20" ht="30" customHeight="1" x14ac:dyDescent="0.25">
      <c r="A51" s="40"/>
      <c r="B51" s="40"/>
      <c r="C51" s="40"/>
      <c r="D51" s="40"/>
      <c r="E51" s="41"/>
      <c r="F51" s="40"/>
      <c r="G51" s="41"/>
      <c r="H51" s="40"/>
      <c r="I51" s="42" t="str">
        <f t="shared" si="12"/>
        <v/>
      </c>
      <c r="J51" s="42" t="str">
        <f t="shared" si="13"/>
        <v/>
      </c>
      <c r="K51" s="41"/>
      <c r="L51" s="41"/>
      <c r="M51" s="40"/>
      <c r="N51" s="40"/>
      <c r="O51" s="41"/>
      <c r="P51" s="42" t="str">
        <f t="shared" si="14"/>
        <v/>
      </c>
      <c r="Q51" s="41"/>
      <c r="R51" s="40"/>
      <c r="S51" s="41"/>
      <c r="T51" s="40"/>
    </row>
    <row r="52" spans="1:20" ht="19.5" customHeight="1" x14ac:dyDescent="0.25">
      <c r="A52" s="82" t="s">
        <v>158</v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</row>
    <row r="53" spans="1:20" ht="30" customHeight="1" x14ac:dyDescent="0.25">
      <c r="A53" s="40"/>
      <c r="B53" s="40"/>
      <c r="C53" s="40"/>
      <c r="D53" s="40"/>
      <c r="E53" s="41"/>
      <c r="F53" s="40"/>
      <c r="G53" s="41"/>
      <c r="H53" s="40"/>
      <c r="I53" s="42" t="str">
        <f t="shared" ref="I53:I60" si="15">IF(OR(E53="",G53=""),"",E53*G53)</f>
        <v/>
      </c>
      <c r="J53" s="42" t="str">
        <f t="shared" ref="J53:J60" si="16">IF(I53="","",IF(I53&lt;5,"Lav",IF(I53&lt;10,"Middel","Høj")))</f>
        <v/>
      </c>
      <c r="K53" s="41"/>
      <c r="L53" s="41"/>
      <c r="M53" s="40"/>
      <c r="N53" s="40"/>
      <c r="O53" s="41"/>
      <c r="P53" s="42" t="str">
        <f t="shared" ref="P53:P60" si="17">IF(O53="","",IF(O53&lt;5,"Lav",IF(O53&lt;10,"Middel","Høj")))</f>
        <v/>
      </c>
      <c r="Q53" s="41"/>
      <c r="R53" s="40"/>
      <c r="S53" s="41"/>
      <c r="T53" s="40"/>
    </row>
    <row r="54" spans="1:20" ht="30" customHeight="1" x14ac:dyDescent="0.25">
      <c r="A54" s="40"/>
      <c r="B54" s="40"/>
      <c r="C54" s="40"/>
      <c r="D54" s="40"/>
      <c r="E54" s="41"/>
      <c r="F54" s="40"/>
      <c r="G54" s="41"/>
      <c r="H54" s="40"/>
      <c r="I54" s="42" t="str">
        <f t="shared" si="15"/>
        <v/>
      </c>
      <c r="J54" s="42" t="str">
        <f t="shared" si="16"/>
        <v/>
      </c>
      <c r="K54" s="41"/>
      <c r="L54" s="41"/>
      <c r="M54" s="40"/>
      <c r="N54" s="40"/>
      <c r="O54" s="41"/>
      <c r="P54" s="42" t="str">
        <f t="shared" si="17"/>
        <v/>
      </c>
      <c r="Q54" s="41"/>
      <c r="R54" s="40"/>
      <c r="S54" s="41"/>
      <c r="T54" s="40"/>
    </row>
    <row r="55" spans="1:20" ht="30" customHeight="1" x14ac:dyDescent="0.25">
      <c r="A55" s="40"/>
      <c r="B55" s="40"/>
      <c r="C55" s="40"/>
      <c r="D55" s="40"/>
      <c r="E55" s="41"/>
      <c r="F55" s="40"/>
      <c r="G55" s="41"/>
      <c r="H55" s="40"/>
      <c r="I55" s="42" t="str">
        <f t="shared" si="15"/>
        <v/>
      </c>
      <c r="J55" s="42" t="str">
        <f t="shared" si="16"/>
        <v/>
      </c>
      <c r="K55" s="41"/>
      <c r="L55" s="41"/>
      <c r="M55" s="40"/>
      <c r="N55" s="40"/>
      <c r="O55" s="41"/>
      <c r="P55" s="42" t="str">
        <f t="shared" si="17"/>
        <v/>
      </c>
      <c r="Q55" s="41"/>
      <c r="R55" s="40"/>
      <c r="S55" s="41"/>
      <c r="T55" s="40"/>
    </row>
    <row r="56" spans="1:20" ht="30" customHeight="1" x14ac:dyDescent="0.25">
      <c r="A56" s="40"/>
      <c r="B56" s="40"/>
      <c r="C56" s="40"/>
      <c r="D56" s="40"/>
      <c r="E56" s="41"/>
      <c r="F56" s="40"/>
      <c r="G56" s="41"/>
      <c r="H56" s="40"/>
      <c r="I56" s="42" t="str">
        <f t="shared" si="15"/>
        <v/>
      </c>
      <c r="J56" s="42" t="str">
        <f t="shared" si="16"/>
        <v/>
      </c>
      <c r="K56" s="41"/>
      <c r="L56" s="41"/>
      <c r="M56" s="40"/>
      <c r="N56" s="40"/>
      <c r="O56" s="41"/>
      <c r="P56" s="42" t="str">
        <f t="shared" si="17"/>
        <v/>
      </c>
      <c r="Q56" s="41"/>
      <c r="R56" s="40"/>
      <c r="S56" s="41"/>
      <c r="T56" s="40"/>
    </row>
    <row r="57" spans="1:20" ht="30" customHeight="1" x14ac:dyDescent="0.25">
      <c r="A57" s="40"/>
      <c r="B57" s="40"/>
      <c r="C57" s="40"/>
      <c r="D57" s="40"/>
      <c r="E57" s="41"/>
      <c r="F57" s="40"/>
      <c r="G57" s="41"/>
      <c r="H57" s="40"/>
      <c r="I57" s="42" t="str">
        <f t="shared" si="15"/>
        <v/>
      </c>
      <c r="J57" s="42" t="str">
        <f t="shared" si="16"/>
        <v/>
      </c>
      <c r="K57" s="41"/>
      <c r="L57" s="41"/>
      <c r="M57" s="40"/>
      <c r="N57" s="40"/>
      <c r="O57" s="41"/>
      <c r="P57" s="42" t="str">
        <f t="shared" si="17"/>
        <v/>
      </c>
      <c r="Q57" s="41"/>
      <c r="R57" s="40"/>
      <c r="S57" s="41"/>
      <c r="T57" s="40"/>
    </row>
    <row r="58" spans="1:20" ht="30" customHeight="1" x14ac:dyDescent="0.25">
      <c r="A58" s="40"/>
      <c r="B58" s="40"/>
      <c r="C58" s="40"/>
      <c r="D58" s="40"/>
      <c r="E58" s="41"/>
      <c r="F58" s="40"/>
      <c r="G58" s="41"/>
      <c r="H58" s="40"/>
      <c r="I58" s="42" t="str">
        <f t="shared" si="15"/>
        <v/>
      </c>
      <c r="J58" s="42" t="str">
        <f t="shared" si="16"/>
        <v/>
      </c>
      <c r="K58" s="41"/>
      <c r="L58" s="41"/>
      <c r="M58" s="40"/>
      <c r="N58" s="40"/>
      <c r="O58" s="41"/>
      <c r="P58" s="42" t="str">
        <f t="shared" si="17"/>
        <v/>
      </c>
      <c r="Q58" s="41"/>
      <c r="R58" s="40"/>
      <c r="S58" s="41"/>
      <c r="T58" s="40"/>
    </row>
    <row r="59" spans="1:20" ht="30" customHeight="1" x14ac:dyDescent="0.25">
      <c r="A59" s="40"/>
      <c r="B59" s="40"/>
      <c r="C59" s="40"/>
      <c r="D59" s="40"/>
      <c r="E59" s="41"/>
      <c r="F59" s="40"/>
      <c r="G59" s="41"/>
      <c r="H59" s="40"/>
      <c r="I59" s="42" t="str">
        <f t="shared" si="15"/>
        <v/>
      </c>
      <c r="J59" s="42" t="str">
        <f t="shared" si="16"/>
        <v/>
      </c>
      <c r="K59" s="41"/>
      <c r="L59" s="41"/>
      <c r="M59" s="40"/>
      <c r="N59" s="40"/>
      <c r="O59" s="41"/>
      <c r="P59" s="42" t="str">
        <f t="shared" si="17"/>
        <v/>
      </c>
      <c r="Q59" s="41"/>
      <c r="R59" s="40"/>
      <c r="S59" s="41"/>
      <c r="T59" s="40"/>
    </row>
    <row r="60" spans="1:20" ht="30" customHeight="1" x14ac:dyDescent="0.25">
      <c r="A60" s="40"/>
      <c r="B60" s="40"/>
      <c r="C60" s="40"/>
      <c r="D60" s="40"/>
      <c r="E60" s="41"/>
      <c r="F60" s="40"/>
      <c r="G60" s="41"/>
      <c r="H60" s="40"/>
      <c r="I60" s="42" t="str">
        <f t="shared" si="15"/>
        <v/>
      </c>
      <c r="J60" s="42" t="str">
        <f t="shared" si="16"/>
        <v/>
      </c>
      <c r="K60" s="41"/>
      <c r="L60" s="41"/>
      <c r="M60" s="40"/>
      <c r="N60" s="40"/>
      <c r="O60" s="41"/>
      <c r="P60" s="42" t="str">
        <f t="shared" si="17"/>
        <v/>
      </c>
      <c r="Q60" s="41"/>
      <c r="R60" s="40"/>
      <c r="S60" s="41"/>
      <c r="T60" s="40"/>
    </row>
  </sheetData>
  <mergeCells count="17">
    <mergeCell ref="A34:T34"/>
    <mergeCell ref="A43:T43"/>
    <mergeCell ref="A52:T52"/>
    <mergeCell ref="A5:L5"/>
    <mergeCell ref="M5:T5"/>
    <mergeCell ref="A7:T7"/>
    <mergeCell ref="A16:T16"/>
    <mergeCell ref="A25:T25"/>
    <mergeCell ref="A1:T1"/>
    <mergeCell ref="A2:T2"/>
    <mergeCell ref="B3:D3"/>
    <mergeCell ref="E3:F3"/>
    <mergeCell ref="G3:H3"/>
    <mergeCell ref="I3:J3"/>
    <mergeCell ref="K3:L3"/>
    <mergeCell ref="N3:O3"/>
    <mergeCell ref="R3:T3"/>
  </mergeCells>
  <conditionalFormatting sqref="I7:I60">
    <cfRule type="expression" dxfId="29" priority="2">
      <formula>AND(ISNUMBER(I7),I7&gt;=10)</formula>
    </cfRule>
    <cfRule type="expression" dxfId="28" priority="3">
      <formula>AND(ISNUMBER(I7),I7&gt;=5)</formula>
    </cfRule>
    <cfRule type="expression" dxfId="27" priority="4">
      <formula>AND(ISNUMBER(I7),I7&gt;=1)</formula>
    </cfRule>
  </conditionalFormatting>
  <conditionalFormatting sqref="J7:J60">
    <cfRule type="cellIs" dxfId="26" priority="8" operator="equal">
      <formula>"Lav"</formula>
    </cfRule>
    <cfRule type="cellIs" dxfId="25" priority="9" operator="equal">
      <formula>"Middel"</formula>
    </cfRule>
    <cfRule type="cellIs" dxfId="24" priority="10" operator="equal">
      <formula>"Høj"</formula>
    </cfRule>
  </conditionalFormatting>
  <conditionalFormatting sqref="K7:K60">
    <cfRule type="cellIs" dxfId="23" priority="14" operator="equal">
      <formula>1</formula>
    </cfRule>
    <cfRule type="cellIs" dxfId="22" priority="15" operator="equal">
      <formula>2</formula>
    </cfRule>
    <cfRule type="cellIs" dxfId="21" priority="16" operator="equal">
      <formula>3</formula>
    </cfRule>
  </conditionalFormatting>
  <conditionalFormatting sqref="O7:O60">
    <cfRule type="expression" dxfId="20" priority="5">
      <formula>AND(ISNUMBER(O7),O7&gt;=10)</formula>
    </cfRule>
    <cfRule type="expression" dxfId="19" priority="6">
      <formula>AND(ISNUMBER(O7),O7&gt;=5)</formula>
    </cfRule>
    <cfRule type="expression" dxfId="18" priority="7">
      <formula>AND(ISNUMBER(O7),O7&gt;=1)</formula>
    </cfRule>
  </conditionalFormatting>
  <conditionalFormatting sqref="P7:P60">
    <cfRule type="cellIs" dxfId="17" priority="11" operator="equal">
      <formula>"Lav"</formula>
    </cfRule>
    <cfRule type="cellIs" dxfId="16" priority="12" operator="equal">
      <formula>"Middel"</formula>
    </cfRule>
    <cfRule type="cellIs" dxfId="15" priority="13" operator="equal">
      <formula>"Høj"</formula>
    </cfRule>
  </conditionalFormatting>
  <dataValidations count="4">
    <dataValidation type="list" allowBlank="1" showErrorMessage="1" errorTitle="Ugyldig værdi" error="Vælg en værdi fra listen." sqref="E8:E15 G8:G15 E17:E24 G17:G24 E26:E33 G26:G33 E35:E42 G35:G42 E44:E51 G44:G51 E53:E60 G53:G60" xr:uid="{00000000-0002-0000-0100-000000000000}">
      <formula1>"1,2,3,4,5"</formula1>
      <formula2>0</formula2>
    </dataValidation>
    <dataValidation type="list" allowBlank="1" showErrorMessage="1" errorTitle="Ugyldig værdi" error="Vælg en værdi fra listen." sqref="K8:K15 K17:K24 K26:K33 K35:K42 K44:K51 K53:K60" xr:uid="{00000000-0002-0000-0100-000001000000}">
      <formula1>"1,2,3"</formula1>
      <formula2>0</formula2>
    </dataValidation>
    <dataValidation type="list" allowBlank="1" showErrorMessage="1" errorTitle="Ugyldig værdi" error="Vælg en værdi fra listen." sqref="L8:L15 Q8:Q15 S8:S15 L17:L24 Q17:Q24 S17:S24 L26:L33 Q26:Q33 S26:S33 L35:L42 Q35:Q42 S35:S42 L44:L51 Q44:Q51 S44:S51 L53:L60 Q53:Q60 S53:S60" xr:uid="{00000000-0002-0000-0100-000002000000}">
      <formula1>"Ja,Nej"</formula1>
      <formula2>0</formula2>
    </dataValidation>
    <dataValidation type="whole" allowBlank="1" showErrorMessage="1" errorTitle="Ugyldig værdi" error="Angiv et helt tal fra 1 til 25." sqref="O8:O15 O17:O24 O26:O33 O35:O42 O44:O51 O53:O60" xr:uid="{00000000-0002-0000-0100-000003000000}">
      <formula1>1</formula1>
      <formula2>25</formula2>
    </dataValidation>
  </dataValidations>
  <pageMargins left="0.4" right="0.4" top="1" bottom="1" header="0.511811023622047" footer="0.5"/>
  <pageSetup paperSize="9" fitToHeight="0" orientation="landscape" horizontalDpi="300" verticalDpi="300"/>
  <headerFooter>
    <oddFooter>&amp;L&amp;8 NIS2 Risikovurdering · Kasper Mensink&amp;R&amp;8 &amp;A · side &amp;P af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B4F6B"/>
    <pageSetUpPr fitToPage="1"/>
  </sheetPr>
  <dimension ref="B1:O2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.42578125" customWidth="1"/>
    <col min="2" max="2" width="16" customWidth="1"/>
    <col min="3" max="3" width="14" customWidth="1"/>
    <col min="4" max="8" width="13" customWidth="1"/>
    <col min="9" max="9" width="4" customWidth="1"/>
    <col min="10" max="10" width="30" customWidth="1"/>
    <col min="11" max="15" width="12" customWidth="1"/>
  </cols>
  <sheetData>
    <row r="1" spans="2:15" ht="36" customHeight="1" x14ac:dyDescent="0.25">
      <c r="B1" s="12" t="s">
        <v>159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2:15" ht="19.5" customHeight="1" x14ac:dyDescent="0.25">
      <c r="B2" s="11" t="s">
        <v>160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2:15" ht="24" customHeight="1" x14ac:dyDescent="0.25">
      <c r="B4" s="43" t="s">
        <v>161</v>
      </c>
      <c r="C4" s="83" t="s">
        <v>162</v>
      </c>
      <c r="D4" s="83"/>
      <c r="E4" s="83"/>
      <c r="F4" s="44" t="s">
        <v>163</v>
      </c>
    </row>
    <row r="6" spans="2:15" ht="25.5" customHeight="1" x14ac:dyDescent="0.25">
      <c r="B6" s="10" t="s">
        <v>164</v>
      </c>
      <c r="C6" s="10"/>
      <c r="D6" s="10"/>
      <c r="E6" s="10"/>
      <c r="F6" s="10"/>
      <c r="G6" s="10"/>
      <c r="H6" s="10"/>
      <c r="J6" s="10" t="s">
        <v>165</v>
      </c>
      <c r="K6" s="10"/>
      <c r="L6" s="10"/>
      <c r="M6" s="10"/>
      <c r="N6" s="10"/>
      <c r="O6" s="10"/>
    </row>
    <row r="8" spans="2:15" x14ac:dyDescent="0.25">
      <c r="J8" s="45" t="s">
        <v>166</v>
      </c>
      <c r="K8" s="46" t="s">
        <v>167</v>
      </c>
      <c r="L8" s="46" t="s">
        <v>168</v>
      </c>
      <c r="M8" s="46" t="s">
        <v>169</v>
      </c>
    </row>
    <row r="9" spans="2:15" ht="42" customHeight="1" x14ac:dyDescent="0.25">
      <c r="B9" s="84" t="s">
        <v>170</v>
      </c>
      <c r="C9" s="47" t="s">
        <v>171</v>
      </c>
      <c r="D9" s="48">
        <f>IF($C$4="Eksempel",COUNTIFS('Eksempel - Risikovurdering'!$E$7:$E$37,5,'Eksempel - Risikovurdering'!$G$7:$G$37,1),COUNTIFS(Risikovurdering!$E$7:$E$60,5,Risikovurdering!$G$7:$G$60,1))</f>
        <v>0</v>
      </c>
      <c r="E9" s="49">
        <f>IF($C$4="Eksempel",COUNTIFS('Eksempel - Risikovurdering'!$E$7:$E$37,5,'Eksempel - Risikovurdering'!$G$7:$G$37,2),COUNTIFS(Risikovurdering!$E$7:$E$60,5,Risikovurdering!$G$7:$G$60,2))</f>
        <v>0</v>
      </c>
      <c r="F9" s="49">
        <f>IF($C$4="Eksempel",COUNTIFS('Eksempel - Risikovurdering'!$E$7:$E$37,5,'Eksempel - Risikovurdering'!$G$7:$G$37,3),COUNTIFS(Risikovurdering!$E$7:$E$60,5,Risikovurdering!$G$7:$G$60,3))</f>
        <v>0</v>
      </c>
      <c r="G9" s="49">
        <f>IF($C$4="Eksempel",COUNTIFS('Eksempel - Risikovurdering'!$E$7:$E$37,5,'Eksempel - Risikovurdering'!$G$7:$G$37,4),COUNTIFS(Risikovurdering!$E$7:$E$60,5,Risikovurdering!$G$7:$G$60,4))</f>
        <v>0</v>
      </c>
      <c r="H9" s="49">
        <f>IF($C$4="Eksempel",COUNTIFS('Eksempel - Risikovurdering'!$E$7:$E$37,5,'Eksempel - Risikovurdering'!$G$7:$G$37,5),COUNTIFS(Risikovurdering!$E$7:$E$60,5,Risikovurdering!$G$7:$G$60,5))</f>
        <v>0</v>
      </c>
      <c r="J9" s="50" t="s">
        <v>172</v>
      </c>
      <c r="K9" s="51">
        <f>IF($C$4="Eksempel",COUNTIFS('Eksempel - Risikovurdering'!$I$7:$I$37,"&gt;=10",'Eksempel - Risikovurdering'!$I$7:$I$37,"&lt;=25"),COUNTIFS(Risikovurdering!$I$7:$I$60,"&gt;=10",Risikovurdering!$I$7:$I$60,"&lt;=25"))</f>
        <v>9</v>
      </c>
      <c r="L9" s="51">
        <f>IF($C$4="Eksempel",COUNTIFS('Eksempel - Risikovurdering'!$O$7:$O$37,"&gt;=10",'Eksempel - Risikovurdering'!$O$7:$O$37,"&lt;=25"),COUNTIFS(Risikovurdering!$O$7:$O$60,"&gt;=10",Risikovurdering!$O$7:$O$60,"&lt;=25"))</f>
        <v>0</v>
      </c>
      <c r="M9" s="52">
        <f>L9-K9</f>
        <v>-9</v>
      </c>
    </row>
    <row r="10" spans="2:15" ht="42" customHeight="1" x14ac:dyDescent="0.25">
      <c r="B10" s="84"/>
      <c r="C10" s="47" t="s">
        <v>173</v>
      </c>
      <c r="D10" s="53">
        <f>IF($C$4="Eksempel",COUNTIFS('Eksempel - Risikovurdering'!$E$7:$E$37,4,'Eksempel - Risikovurdering'!$G$7:$G$37,1),COUNTIFS(Risikovurdering!$E$7:$E$60,4,Risikovurdering!$G$7:$G$60,1))</f>
        <v>0</v>
      </c>
      <c r="E10" s="48">
        <f>IF($C$4="Eksempel",COUNTIFS('Eksempel - Risikovurdering'!$E$7:$E$37,4,'Eksempel - Risikovurdering'!$G$7:$G$37,2),COUNTIFS(Risikovurdering!$E$7:$E$60,4,Risikovurdering!$G$7:$G$60,2))</f>
        <v>0</v>
      </c>
      <c r="F10" s="49">
        <f>IF($C$4="Eksempel",COUNTIFS('Eksempel - Risikovurdering'!$E$7:$E$37,4,'Eksempel - Risikovurdering'!$G$7:$G$37,3),COUNTIFS(Risikovurdering!$E$7:$E$60,4,Risikovurdering!$G$7:$G$60,3))</f>
        <v>1</v>
      </c>
      <c r="G10" s="49">
        <f>IF($C$4="Eksempel",COUNTIFS('Eksempel - Risikovurdering'!$E$7:$E$37,4,'Eksempel - Risikovurdering'!$G$7:$G$37,4),COUNTIFS(Risikovurdering!$E$7:$E$60,4,Risikovurdering!$G$7:$G$60,4))</f>
        <v>0</v>
      </c>
      <c r="H10" s="49">
        <f>IF($C$4="Eksempel",COUNTIFS('Eksempel - Risikovurdering'!$E$7:$E$37,4,'Eksempel - Risikovurdering'!$G$7:$G$37,5),COUNTIFS(Risikovurdering!$E$7:$E$60,4,Risikovurdering!$G$7:$G$60,5))</f>
        <v>0</v>
      </c>
      <c r="J10" s="54" t="s">
        <v>174</v>
      </c>
      <c r="K10" s="51">
        <f>IF($C$4="Eksempel",COUNTIFS('Eksempel - Risikovurdering'!$I$7:$I$37,"&gt;=5",'Eksempel - Risikovurdering'!$I$7:$I$37,"&lt;10"),COUNTIFS(Risikovurdering!$I$7:$I$60,"&gt;=5",Risikovurdering!$I$7:$I$60,"&lt;10"))</f>
        <v>15</v>
      </c>
      <c r="L10" s="51">
        <f>IF($C$4="Eksempel",COUNTIFS('Eksempel - Risikovurdering'!$O$7:$O$37,"&gt;=5",'Eksempel - Risikovurdering'!$O$7:$O$37,"&lt;10"),COUNTIFS(Risikovurdering!$O$7:$O$60,"&gt;=5",Risikovurdering!$O$7:$O$60,"&lt;10"))</f>
        <v>10</v>
      </c>
      <c r="M10" s="52">
        <f>L10-K10</f>
        <v>-5</v>
      </c>
    </row>
    <row r="11" spans="2:15" ht="42" customHeight="1" x14ac:dyDescent="0.25">
      <c r="B11" s="84"/>
      <c r="C11" s="47" t="s">
        <v>175</v>
      </c>
      <c r="D11" s="53">
        <f>IF($C$4="Eksempel",COUNTIFS('Eksempel - Risikovurdering'!$E$7:$E$37,3,'Eksempel - Risikovurdering'!$G$7:$G$37,1),COUNTIFS(Risikovurdering!$E$7:$E$60,3,Risikovurdering!$G$7:$G$60,1))</f>
        <v>0</v>
      </c>
      <c r="E11" s="48">
        <f>IF($C$4="Eksempel",COUNTIFS('Eksempel - Risikovurdering'!$E$7:$E$37,3,'Eksempel - Risikovurdering'!$G$7:$G$37,2),COUNTIFS(Risikovurdering!$E$7:$E$60,3,Risikovurdering!$G$7:$G$60,2))</f>
        <v>0</v>
      </c>
      <c r="F11" s="48">
        <f>IF($C$4="Eksempel",COUNTIFS('Eksempel - Risikovurdering'!$E$7:$E$37,3,'Eksempel - Risikovurdering'!$G$7:$G$37,3),COUNTIFS(Risikovurdering!$E$7:$E$60,3,Risikovurdering!$G$7:$G$60,3))</f>
        <v>5</v>
      </c>
      <c r="G11" s="49">
        <f>IF($C$4="Eksempel",COUNTIFS('Eksempel - Risikovurdering'!$E$7:$E$37,3,'Eksempel - Risikovurdering'!$G$7:$G$37,4),COUNTIFS(Risikovurdering!$E$7:$E$60,3,Risikovurdering!$G$7:$G$60,4))</f>
        <v>3</v>
      </c>
      <c r="H11" s="49">
        <f>IF($C$4="Eksempel",COUNTIFS('Eksempel - Risikovurdering'!$E$7:$E$37,3,'Eksempel - Risikovurdering'!$G$7:$G$37,5),COUNTIFS(Risikovurdering!$E$7:$E$60,3,Risikovurdering!$G$7:$G$60,5))</f>
        <v>1</v>
      </c>
      <c r="J11" s="55" t="s">
        <v>176</v>
      </c>
      <c r="K11" s="51">
        <f>IF($C$4="Eksempel",COUNTIFS('Eksempel - Risikovurdering'!$I$7:$I$37,"&gt;=1",'Eksempel - Risikovurdering'!$I$7:$I$37,"&lt;5"),COUNTIFS(Risikovurdering!$I$7:$I$60,"&gt;=1",Risikovurdering!$I$7:$I$60,"&lt;5"))</f>
        <v>1</v>
      </c>
      <c r="L11" s="51">
        <f>IF($C$4="Eksempel",COUNTIFS('Eksempel - Risikovurdering'!$O$7:$O$37,"&gt;=1",'Eksempel - Risikovurdering'!$O$7:$O$37,"&lt;5"),COUNTIFS(Risikovurdering!$O$7:$O$60,"&gt;=1",Risikovurdering!$O$7:$O$60,"&lt;5"))</f>
        <v>15</v>
      </c>
      <c r="M11" s="52">
        <f>L11-K11</f>
        <v>14</v>
      </c>
    </row>
    <row r="12" spans="2:15" ht="42" customHeight="1" x14ac:dyDescent="0.25">
      <c r="B12" s="84"/>
      <c r="C12" s="47" t="s">
        <v>177</v>
      </c>
      <c r="D12" s="53">
        <f>IF($C$4="Eksempel",COUNTIFS('Eksempel - Risikovurdering'!$E$7:$E$37,2,'Eksempel - Risikovurdering'!$G$7:$G$37,1),COUNTIFS(Risikovurdering!$E$7:$E$60,2,Risikovurdering!$G$7:$G$60,1))</f>
        <v>0</v>
      </c>
      <c r="E12" s="53">
        <f>IF($C$4="Eksempel",COUNTIFS('Eksempel - Risikovurdering'!$E$7:$E$37,2,'Eksempel - Risikovurdering'!$G$7:$G$37,2),COUNTIFS(Risikovurdering!$E$7:$E$60,2,Risikovurdering!$G$7:$G$60,2))</f>
        <v>1</v>
      </c>
      <c r="F12" s="48">
        <f>IF($C$4="Eksempel",COUNTIFS('Eksempel - Risikovurdering'!$E$7:$E$37,2,'Eksempel - Risikovurdering'!$G$7:$G$37,3),COUNTIFS(Risikovurdering!$E$7:$E$60,2,Risikovurdering!$G$7:$G$60,3))</f>
        <v>3</v>
      </c>
      <c r="G12" s="48">
        <f>IF($C$4="Eksempel",COUNTIFS('Eksempel - Risikovurdering'!$E$7:$E$37,2,'Eksempel - Risikovurdering'!$G$7:$G$37,4),COUNTIFS(Risikovurdering!$E$7:$E$60,2,Risikovurdering!$G$7:$G$60,4))</f>
        <v>6</v>
      </c>
      <c r="H12" s="49">
        <f>IF($C$4="Eksempel",COUNTIFS('Eksempel - Risikovurdering'!$E$7:$E$37,2,'Eksempel - Risikovurdering'!$G$7:$G$37,5),COUNTIFS(Risikovurdering!$E$7:$E$60,2,Risikovurdering!$G$7:$G$60,5))</f>
        <v>4</v>
      </c>
      <c r="J12" s="56" t="s">
        <v>178</v>
      </c>
      <c r="K12" s="57">
        <f>SUM(K9:K11)</f>
        <v>25</v>
      </c>
      <c r="L12" s="57">
        <f>SUM(L9:L11)</f>
        <v>25</v>
      </c>
      <c r="M12" s="58"/>
    </row>
    <row r="13" spans="2:15" ht="42" customHeight="1" x14ac:dyDescent="0.25">
      <c r="B13" s="84"/>
      <c r="C13" s="47" t="s">
        <v>179</v>
      </c>
      <c r="D13" s="53">
        <f>IF($C$4="Eksempel",COUNTIFS('Eksempel - Risikovurdering'!$E$7:$E$37,1,'Eksempel - Risikovurdering'!$G$7:$G$37,1),COUNTIFS(Risikovurdering!$E$7:$E$60,1,Risikovurdering!$G$7:$G$60,1))</f>
        <v>0</v>
      </c>
      <c r="E13" s="53">
        <f>IF($C$4="Eksempel",COUNTIFS('Eksempel - Risikovurdering'!$E$7:$E$37,1,'Eksempel - Risikovurdering'!$G$7:$G$37,2),COUNTIFS(Risikovurdering!$E$7:$E$60,1,Risikovurdering!$G$7:$G$60,2))</f>
        <v>0</v>
      </c>
      <c r="F13" s="53">
        <f>IF($C$4="Eksempel",COUNTIFS('Eksempel - Risikovurdering'!$E$7:$E$37,1,'Eksempel - Risikovurdering'!$G$7:$G$37,3),COUNTIFS(Risikovurdering!$E$7:$E$60,1,Risikovurdering!$G$7:$G$60,3))</f>
        <v>0</v>
      </c>
      <c r="G13" s="53">
        <f>IF($C$4="Eksempel",COUNTIFS('Eksempel - Risikovurdering'!$E$7:$E$37,1,'Eksempel - Risikovurdering'!$G$7:$G$37,4),COUNTIFS(Risikovurdering!$E$7:$E$60,1,Risikovurdering!$G$7:$G$60,4))</f>
        <v>0</v>
      </c>
      <c r="H13" s="48">
        <f>IF($C$4="Eksempel",COUNTIFS('Eksempel - Risikovurdering'!$E$7:$E$37,1,'Eksempel - Risikovurdering'!$G$7:$G$37,5),COUNTIFS(Risikovurdering!$E$7:$E$60,1,Risikovurdering!$G$7:$G$60,5))</f>
        <v>1</v>
      </c>
      <c r="J13" s="85" t="s">
        <v>180</v>
      </c>
      <c r="K13" s="85"/>
      <c r="L13" s="85"/>
      <c r="M13" s="85"/>
      <c r="N13" s="85"/>
      <c r="O13" s="85"/>
    </row>
    <row r="14" spans="2:15" ht="30" customHeight="1" x14ac:dyDescent="0.25">
      <c r="D14" s="59" t="s">
        <v>181</v>
      </c>
      <c r="E14" s="59" t="s">
        <v>182</v>
      </c>
      <c r="F14" s="59" t="s">
        <v>183</v>
      </c>
      <c r="G14" s="59" t="s">
        <v>184</v>
      </c>
      <c r="H14" s="59" t="s">
        <v>185</v>
      </c>
      <c r="J14" s="85"/>
      <c r="K14" s="85"/>
      <c r="L14" s="85"/>
      <c r="M14" s="85"/>
      <c r="N14" s="85"/>
      <c r="O14" s="85"/>
    </row>
    <row r="15" spans="2:15" ht="15" customHeight="1" x14ac:dyDescent="0.25">
      <c r="D15" s="86" t="s">
        <v>186</v>
      </c>
      <c r="E15" s="86"/>
      <c r="F15" s="86"/>
      <c r="G15" s="86"/>
      <c r="H15" s="86"/>
    </row>
    <row r="16" spans="2:15" ht="25.5" customHeight="1" x14ac:dyDescent="0.25">
      <c r="B16" s="85" t="s">
        <v>187</v>
      </c>
      <c r="C16" s="85"/>
      <c r="D16" s="85"/>
      <c r="E16" s="85"/>
      <c r="F16" s="85"/>
      <c r="G16" s="85"/>
      <c r="H16" s="85"/>
    </row>
    <row r="18" spans="2:15" ht="25.5" customHeight="1" x14ac:dyDescent="0.25">
      <c r="B18" s="10" t="s">
        <v>188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20" spans="2:15" ht="30" customHeight="1" x14ac:dyDescent="0.25">
      <c r="B20" s="87" t="s">
        <v>189</v>
      </c>
      <c r="C20" s="87"/>
      <c r="D20" s="87"/>
      <c r="E20" s="46" t="s">
        <v>190</v>
      </c>
      <c r="F20" s="46" t="s">
        <v>191</v>
      </c>
      <c r="G20" s="46" t="s">
        <v>192</v>
      </c>
      <c r="H20" s="46" t="s">
        <v>193</v>
      </c>
      <c r="I20" s="60"/>
      <c r="J20" s="46" t="s">
        <v>194</v>
      </c>
      <c r="K20" s="46" t="s">
        <v>195</v>
      </c>
      <c r="L20" s="46" t="s">
        <v>196</v>
      </c>
      <c r="M20" s="88" t="s">
        <v>197</v>
      </c>
      <c r="N20" s="88"/>
      <c r="O20" s="88"/>
    </row>
    <row r="21" spans="2:15" ht="21.75" customHeight="1" x14ac:dyDescent="0.25">
      <c r="B21" s="89" t="s">
        <v>198</v>
      </c>
      <c r="C21" s="89"/>
      <c r="D21" s="89"/>
      <c r="E21" s="61">
        <f>IF($C$4="Eksempel",COUNT('Eksempel - Risikovurdering'!$I$8:$I$12),COUNT(Risikovurdering!$I$8:$I$15))</f>
        <v>5</v>
      </c>
      <c r="F21" s="62">
        <f>IF($C$4="Eksempel",COUNTIF('Eksempel - Risikovurdering'!$I$8:$I$12,"&gt;=10"),COUNTIF(Risikovurdering!$I$8:$I$15,"&gt;=10"))</f>
        <v>2</v>
      </c>
      <c r="G21" s="63">
        <f>IF($C$4="Eksempel",IF(COUNT('Eksempel - Risikovurdering'!$I$8:$I$12)=0,"–",AVERAGE('Eksempel - Risikovurdering'!$I$8:$I$12)),IF(COUNT(Risikovurdering!$I$8:$I$15)=0,"–",AVERAGE(Risikovurdering!$I$8:$I$15)))</f>
        <v>9.4</v>
      </c>
      <c r="H21" s="61">
        <f>IF($C$4="Eksempel",IF(COUNT('Eksempel - Risikovurdering'!$I$8:$I$12)=0,"–",MAX('Eksempel - Risikovurdering'!$I$8:$I$12)),IF(COUNT(Risikovurdering!$I$8:$I$15)=0,"–",MAX(Risikovurdering!$I$8:$I$15)))</f>
        <v>12</v>
      </c>
      <c r="I21" s="64"/>
      <c r="J21" s="63">
        <f>IF($C$4="Eksempel",IF(COUNT('Eksempel - Risikovurdering'!$O$8:$O$12)=0,"–",AVERAGE('Eksempel - Risikovurdering'!$O$8:$O$12)),IF(COUNT(Risikovurdering!$O$8:$O$15)=0,"–",AVERAGE(Risikovurdering!$O$8:$O$15)))</f>
        <v>4.5999999999999996</v>
      </c>
      <c r="K21" s="65">
        <f>IF($C$4="Eksempel",COUNTIF('Eksempel - Risikovurdering'!$O$8:$O$12,"&gt;=10"),COUNTIF(Risikovurdering!$O$8:$O$15,"&gt;=10"))</f>
        <v>0</v>
      </c>
      <c r="L21" s="65">
        <f>IF($C$4="Eksempel",COUNTIF('Eksempel - Risikovurdering'!$Q$8:$Q$12,"Nej"),COUNTIF(Risikovurdering!$Q$8:$Q$15,"Nej"))</f>
        <v>2</v>
      </c>
      <c r="M21" s="90">
        <f>IF($C$4="Eksempel",COUNTIFS('Eksempel - Risikovurdering'!$S$8:$S$12,"Nej",'Eksempel - Risikovurdering'!$I$8:$I$12,"&gt;0"),COUNTIFS(Risikovurdering!$S$8:$S$15,"Nej",Risikovurdering!$I$8:$I$15,"&gt;0"))</f>
        <v>2</v>
      </c>
      <c r="N21" s="90"/>
      <c r="O21" s="90"/>
    </row>
    <row r="22" spans="2:15" ht="21.75" customHeight="1" x14ac:dyDescent="0.25">
      <c r="B22" s="91" t="s">
        <v>199</v>
      </c>
      <c r="C22" s="91"/>
      <c r="D22" s="91"/>
      <c r="E22" s="66">
        <f>IF($C$4="Eksempel",COUNT('Eksempel - Risikovurdering'!$I$14:$I$17),COUNT(Risikovurdering!$I$17:$I$24))</f>
        <v>4</v>
      </c>
      <c r="F22" s="67">
        <f>IF($C$4="Eksempel",COUNTIF('Eksempel - Risikovurdering'!$I$14:$I$17,"&gt;=10"),COUNTIF(Risikovurdering!$I$17:$I$24,"&gt;=10"))</f>
        <v>2</v>
      </c>
      <c r="G22" s="68">
        <f>IF($C$4="Eksempel",IF(COUNT('Eksempel - Risikovurdering'!$I$14:$I$17)=0,"–",AVERAGE('Eksempel - Risikovurdering'!$I$14:$I$17)),IF(COUNT(Risikovurdering!$I$17:$I$24)=0,"–",AVERAGE(Risikovurdering!$I$17:$I$24)))</f>
        <v>9.5</v>
      </c>
      <c r="H22" s="66">
        <f>IF($C$4="Eksempel",IF(COUNT('Eksempel - Risikovurdering'!$I$14:$I$17)=0,"–",MAX('Eksempel - Risikovurdering'!$I$14:$I$17)),IF(COUNT(Risikovurdering!$I$17:$I$24)=0,"–",MAX(Risikovurdering!$I$17:$I$24)))</f>
        <v>12</v>
      </c>
      <c r="I22" s="69"/>
      <c r="J22" s="68">
        <f>IF($C$4="Eksempel",IF(COUNT('Eksempel - Risikovurdering'!$O$14:$O$17)=0,"–",AVERAGE('Eksempel - Risikovurdering'!$O$14:$O$17)),IF(COUNT(Risikovurdering!$O$17:$O$24)=0,"–",AVERAGE(Risikovurdering!$O$17:$O$24)))</f>
        <v>4.75</v>
      </c>
      <c r="K22" s="70">
        <f>IF($C$4="Eksempel",COUNTIF('Eksempel - Risikovurdering'!$O$14:$O$17,"&gt;=10"),COUNTIF(Risikovurdering!$O$17:$O$24,"&gt;=10"))</f>
        <v>0</v>
      </c>
      <c r="L22" s="70">
        <f>IF($C$4="Eksempel",COUNTIF('Eksempel - Risikovurdering'!$Q$14:$Q$17,"Nej"),COUNTIF(Risikovurdering!$Q$17:$Q$24,"Nej"))</f>
        <v>0</v>
      </c>
      <c r="M22" s="92">
        <f>IF($C$4="Eksempel",COUNTIFS('Eksempel - Risikovurdering'!$S$14:$S$17,"Nej",'Eksempel - Risikovurdering'!$I$14:$I$17,"&gt;0"),COUNTIFS(Risikovurdering!$S$17:$S$24,"Nej",Risikovurdering!$I$17:$I$24,"&gt;0"))</f>
        <v>1</v>
      </c>
      <c r="N22" s="92"/>
      <c r="O22" s="92"/>
    </row>
    <row r="23" spans="2:15" ht="21.75" customHeight="1" x14ac:dyDescent="0.25">
      <c r="B23" s="89" t="s">
        <v>200</v>
      </c>
      <c r="C23" s="89"/>
      <c r="D23" s="89"/>
      <c r="E23" s="61">
        <f>IF($C$4="Eksempel",COUNT('Eksempel - Risikovurdering'!$I$19:$I$22),COUNT(Risikovurdering!$I$26:$I$33))</f>
        <v>4</v>
      </c>
      <c r="F23" s="62">
        <f>IF($C$4="Eksempel",COUNTIF('Eksempel - Risikovurdering'!$I$19:$I$22,"&gt;=10"),COUNTIF(Risikovurdering!$I$26:$I$33,"&gt;=10"))</f>
        <v>1</v>
      </c>
      <c r="G23" s="63">
        <f>IF($C$4="Eksempel",IF(COUNT('Eksempel - Risikovurdering'!$I$19:$I$22)=0,"–",AVERAGE('Eksempel - Risikovurdering'!$I$19:$I$22)),IF(COUNT(Risikovurdering!$I$26:$I$33)=0,"–",AVERAGE(Risikovurdering!$I$26:$I$33)))</f>
        <v>9.5</v>
      </c>
      <c r="H23" s="61">
        <f>IF($C$4="Eksempel",IF(COUNT('Eksempel - Risikovurdering'!$I$19:$I$22)=0,"–",MAX('Eksempel - Risikovurdering'!$I$19:$I$22)),IF(COUNT(Risikovurdering!$I$26:$I$33)=0,"–",MAX(Risikovurdering!$I$26:$I$33)))</f>
        <v>15</v>
      </c>
      <c r="I23" s="64"/>
      <c r="J23" s="63">
        <f>IF($C$4="Eksempel",IF(COUNT('Eksempel - Risikovurdering'!$O$19:$O$22)=0,"–",AVERAGE('Eksempel - Risikovurdering'!$O$19:$O$22)),IF(COUNT(Risikovurdering!$O$26:$O$33)=0,"–",AVERAGE(Risikovurdering!$O$26:$O$33)))</f>
        <v>4.5</v>
      </c>
      <c r="K23" s="65">
        <f>IF($C$4="Eksempel",COUNTIF('Eksempel - Risikovurdering'!$O$19:$O$22,"&gt;=10"),COUNTIF(Risikovurdering!$O$26:$O$33,"&gt;=10"))</f>
        <v>0</v>
      </c>
      <c r="L23" s="65">
        <f>IF($C$4="Eksempel",COUNTIF('Eksempel - Risikovurdering'!$Q$19:$Q$22,"Nej"),COUNTIF(Risikovurdering!$Q$26:$Q$33,"Nej"))</f>
        <v>0</v>
      </c>
      <c r="M23" s="90">
        <f>IF($C$4="Eksempel",COUNTIFS('Eksempel - Risikovurdering'!$S$19:$S$22,"Nej",'Eksempel - Risikovurdering'!$I$19:$I$22,"&gt;0"),COUNTIFS(Risikovurdering!$S$26:$S$33,"Nej",Risikovurdering!$I$26:$I$33,"&gt;0"))</f>
        <v>1</v>
      </c>
      <c r="N23" s="90"/>
      <c r="O23" s="90"/>
    </row>
    <row r="24" spans="2:15" ht="21.75" customHeight="1" x14ac:dyDescent="0.25">
      <c r="B24" s="91" t="s">
        <v>201</v>
      </c>
      <c r="C24" s="91"/>
      <c r="D24" s="91"/>
      <c r="E24" s="66">
        <f>IF($C$4="Eksempel",COUNT('Eksempel - Risikovurdering'!$I$24:$I$27),COUNT(Risikovurdering!$I$35:$I$42))</f>
        <v>4</v>
      </c>
      <c r="F24" s="67">
        <f>IF($C$4="Eksempel",COUNTIF('Eksempel - Risikovurdering'!$I$24:$I$27,"&gt;=10"),COUNTIF(Risikovurdering!$I$35:$I$42,"&gt;=10"))</f>
        <v>1</v>
      </c>
      <c r="G24" s="68">
        <f>IF($C$4="Eksempel",IF(COUNT('Eksempel - Risikovurdering'!$I$24:$I$27)=0,"–",AVERAGE('Eksempel - Risikovurdering'!$I$24:$I$27)),IF(COUNT(Risikovurdering!$I$35:$I$42)=0,"–",AVERAGE(Risikovurdering!$I$35:$I$42)))</f>
        <v>8</v>
      </c>
      <c r="H24" s="66">
        <f>IF($C$4="Eksempel",IF(COUNT('Eksempel - Risikovurdering'!$I$24:$I$27)=0,"–",MAX('Eksempel - Risikovurdering'!$I$24:$I$27)),IF(COUNT(Risikovurdering!$I$35:$I$42)=0,"–",MAX(Risikovurdering!$I$35:$I$42)))</f>
        <v>10</v>
      </c>
      <c r="I24" s="69"/>
      <c r="J24" s="68">
        <f>IF($C$4="Eksempel",IF(COUNT('Eksempel - Risikovurdering'!$O$24:$O$27)=0,"–",AVERAGE('Eksempel - Risikovurdering'!$O$24:$O$27)),IF(COUNT(Risikovurdering!$O$35:$O$42)=0,"–",AVERAGE(Risikovurdering!$O$35:$O$42)))</f>
        <v>3.5</v>
      </c>
      <c r="K24" s="70">
        <f>IF($C$4="Eksempel",COUNTIF('Eksempel - Risikovurdering'!$O$24:$O$27,"&gt;=10"),COUNTIF(Risikovurdering!$O$35:$O$42,"&gt;=10"))</f>
        <v>0</v>
      </c>
      <c r="L24" s="70">
        <f>IF($C$4="Eksempel",COUNTIF('Eksempel - Risikovurdering'!$Q$24:$Q$27,"Nej"),COUNTIF(Risikovurdering!$Q$35:$Q$42,"Nej"))</f>
        <v>0</v>
      </c>
      <c r="M24" s="92">
        <f>IF($C$4="Eksempel",COUNTIFS('Eksempel - Risikovurdering'!$S$24:$S$27,"Nej",'Eksempel - Risikovurdering'!$I$24:$I$27,"&gt;0"),COUNTIFS(Risikovurdering!$S$35:$S$42,"Nej",Risikovurdering!$I$35:$I$42,"&gt;0"))</f>
        <v>1</v>
      </c>
      <c r="N24" s="92"/>
      <c r="O24" s="92"/>
    </row>
    <row r="25" spans="2:15" ht="21.75" customHeight="1" x14ac:dyDescent="0.25">
      <c r="B25" s="89" t="s">
        <v>202</v>
      </c>
      <c r="C25" s="89"/>
      <c r="D25" s="89"/>
      <c r="E25" s="61">
        <f>IF($C$4="Eksempel",COUNT('Eksempel - Risikovurdering'!$I$29:$I$32),COUNT(Risikovurdering!$I$44:$I$51))</f>
        <v>4</v>
      </c>
      <c r="F25" s="62">
        <f>IF($C$4="Eksempel",COUNTIF('Eksempel - Risikovurdering'!$I$29:$I$32,"&gt;=10"),COUNTIF(Risikovurdering!$I$44:$I$51,"&gt;=10"))</f>
        <v>1</v>
      </c>
      <c r="G25" s="63">
        <f>IF($C$4="Eksempel",IF(COUNT('Eksempel - Risikovurdering'!$I$29:$I$32)=0,"–",AVERAGE('Eksempel - Risikovurdering'!$I$29:$I$32)),IF(COUNT(Risikovurdering!$I$44:$I$51)=0,"–",AVERAGE(Risikovurdering!$I$44:$I$51)))</f>
        <v>8</v>
      </c>
      <c r="H25" s="61">
        <f>IF($C$4="Eksempel",IF(COUNT('Eksempel - Risikovurdering'!$I$29:$I$32)=0,"–",MAX('Eksempel - Risikovurdering'!$I$29:$I$32)),IF(COUNT(Risikovurdering!$I$44:$I$51)=0,"–",MAX(Risikovurdering!$I$44:$I$51)))</f>
        <v>10</v>
      </c>
      <c r="I25" s="64"/>
      <c r="J25" s="63">
        <f>IF($C$4="Eksempel",IF(COUNT('Eksempel - Risikovurdering'!$O$29:$O$32)=0,"–",AVERAGE('Eksempel - Risikovurdering'!$O$29:$O$32)),IF(COUNT(Risikovurdering!$O$44:$O$51)=0,"–",AVERAGE(Risikovurdering!$O$44:$O$51)))</f>
        <v>5</v>
      </c>
      <c r="K25" s="65">
        <f>IF($C$4="Eksempel",COUNTIF('Eksempel - Risikovurdering'!$O$29:$O$32,"&gt;=10"),COUNTIF(Risikovurdering!$O$44:$O$51,"&gt;=10"))</f>
        <v>0</v>
      </c>
      <c r="L25" s="65">
        <f>IF($C$4="Eksempel",COUNTIF('Eksempel - Risikovurdering'!$Q$29:$Q$32,"Nej"),COUNTIF(Risikovurdering!$Q$44:$Q$51,"Nej"))</f>
        <v>0</v>
      </c>
      <c r="M25" s="90">
        <f>IF($C$4="Eksempel",COUNTIFS('Eksempel - Risikovurdering'!$S$29:$S$32,"Nej",'Eksempel - Risikovurdering'!$I$29:$I$32,"&gt;0"),COUNTIFS(Risikovurdering!$S$44:$S$51,"Nej",Risikovurdering!$I$44:$I$51,"&gt;0"))</f>
        <v>2</v>
      </c>
      <c r="N25" s="90"/>
      <c r="O25" s="90"/>
    </row>
    <row r="26" spans="2:15" ht="21.75" customHeight="1" x14ac:dyDescent="0.25">
      <c r="B26" s="91" t="s">
        <v>203</v>
      </c>
      <c r="C26" s="91"/>
      <c r="D26" s="91"/>
      <c r="E26" s="66">
        <f>IF($C$4="Eksempel",COUNT('Eksempel - Risikovurdering'!$I$34:$I$37),COUNT(Risikovurdering!$I$53:$I$60))</f>
        <v>4</v>
      </c>
      <c r="F26" s="67">
        <f>IF($C$4="Eksempel",COUNTIF('Eksempel - Risikovurdering'!$I$34:$I$37,"&gt;=10"),COUNTIF(Risikovurdering!$I$53:$I$60,"&gt;=10"))</f>
        <v>2</v>
      </c>
      <c r="G26" s="68">
        <f>IF($C$4="Eksempel",IF(COUNT('Eksempel - Risikovurdering'!$I$34:$I$37)=0,"–",AVERAGE('Eksempel - Risikovurdering'!$I$34:$I$37)),IF(COUNT(Risikovurdering!$I$53:$I$60)=0,"–",AVERAGE(Risikovurdering!$I$53:$I$60)))</f>
        <v>9</v>
      </c>
      <c r="H26" s="66">
        <f>IF($C$4="Eksempel",IF(COUNT('Eksempel - Risikovurdering'!$I$34:$I$37)=0,"–",MAX('Eksempel - Risikovurdering'!$I$34:$I$37)),IF(COUNT(Risikovurdering!$I$53:$I$60)=0,"–",MAX(Risikovurdering!$I$53:$I$60)))</f>
        <v>12</v>
      </c>
      <c r="I26" s="69"/>
      <c r="J26" s="68">
        <f>IF($C$4="Eksempel",IF(COUNT('Eksempel - Risikovurdering'!$O$34:$O$37)=0,"–",AVERAGE('Eksempel - Risikovurdering'!$O$34:$O$37)),IF(COUNT(Risikovurdering!$O$53:$O$60)=0,"–",AVERAGE(Risikovurdering!$O$53:$O$60)))</f>
        <v>4.25</v>
      </c>
      <c r="K26" s="70">
        <f>IF($C$4="Eksempel",COUNTIF('Eksempel - Risikovurdering'!$O$34:$O$37,"&gt;=10"),COUNTIF(Risikovurdering!$O$53:$O$60,"&gt;=10"))</f>
        <v>0</v>
      </c>
      <c r="L26" s="70">
        <f>IF($C$4="Eksempel",COUNTIF('Eksempel - Risikovurdering'!$Q$34:$Q$37,"Nej"),COUNTIF(Risikovurdering!$Q$53:$Q$60,"Nej"))</f>
        <v>0</v>
      </c>
      <c r="M26" s="92">
        <f>IF($C$4="Eksempel",COUNTIFS('Eksempel - Risikovurdering'!$S$34:$S$37,"Nej",'Eksempel - Risikovurdering'!$I$34:$I$37,"&gt;0"),COUNTIFS(Risikovurdering!$S$53:$S$60,"Nej",Risikovurdering!$I$53:$I$60,"&gt;0"))</f>
        <v>1</v>
      </c>
      <c r="N26" s="92"/>
      <c r="O26" s="92"/>
    </row>
    <row r="27" spans="2:15" ht="21.75" customHeight="1" x14ac:dyDescent="0.25">
      <c r="B27" s="93" t="s">
        <v>204</v>
      </c>
      <c r="C27" s="93"/>
      <c r="D27" s="93"/>
      <c r="E27" s="71">
        <f>SUM(E21:E26)</f>
        <v>25</v>
      </c>
      <c r="F27" s="71">
        <f>SUM(F21:F26)</f>
        <v>9</v>
      </c>
      <c r="G27" s="72">
        <f>IF($C$4="Eksempel",IF(COUNT('Eksempel - Risikovurdering'!$I$7:$I$37)=0,"–",AVERAGE('Eksempel - Risikovurdering'!$I$7:$I$37)),IF(COUNT(Risikovurdering!$I$7:$I$60)=0,"–",AVERAGE(Risikovurdering!$I$7:$I$60)))</f>
        <v>8.92</v>
      </c>
      <c r="H27" s="73">
        <f>IF(SUM(E21:E26)=0,"–",MAX(H21:H26))</f>
        <v>15</v>
      </c>
      <c r="I27" s="58"/>
      <c r="J27" s="72">
        <f>IF($C$4="Eksempel",IF(COUNT('Eksempel - Risikovurdering'!$O$7:$O$37)=0,"–",AVERAGE('Eksempel - Risikovurdering'!$O$7:$O$37)),IF(COUNT(Risikovurdering!$O$7:$O$60)=0,"–",AVERAGE(Risikovurdering!$O$7:$O$60)))</f>
        <v>4.4400000000000004</v>
      </c>
      <c r="K27" s="71">
        <f>SUM(K21:K26)</f>
        <v>0</v>
      </c>
      <c r="L27" s="71">
        <f>SUM(L21:L26)</f>
        <v>2</v>
      </c>
      <c r="M27" s="94">
        <f>SUM(M21:M26)</f>
        <v>8</v>
      </c>
      <c r="N27" s="94"/>
      <c r="O27" s="94"/>
    </row>
  </sheetData>
  <mergeCells count="26">
    <mergeCell ref="B26:D26"/>
    <mergeCell ref="M26:O26"/>
    <mergeCell ref="B27:D27"/>
    <mergeCell ref="M27:O27"/>
    <mergeCell ref="B23:D23"/>
    <mergeCell ref="M23:O23"/>
    <mergeCell ref="B24:D24"/>
    <mergeCell ref="M24:O24"/>
    <mergeCell ref="B25:D25"/>
    <mergeCell ref="M25:O25"/>
    <mergeCell ref="B20:D20"/>
    <mergeCell ref="M20:O20"/>
    <mergeCell ref="B21:D21"/>
    <mergeCell ref="M21:O21"/>
    <mergeCell ref="B22:D22"/>
    <mergeCell ref="M22:O22"/>
    <mergeCell ref="B9:B13"/>
    <mergeCell ref="J13:O14"/>
    <mergeCell ref="D15:H15"/>
    <mergeCell ref="B16:H16"/>
    <mergeCell ref="B18:O18"/>
    <mergeCell ref="B1:O1"/>
    <mergeCell ref="B2:O2"/>
    <mergeCell ref="C4:E4"/>
    <mergeCell ref="B6:H6"/>
    <mergeCell ref="J6:O6"/>
  </mergeCells>
  <dataValidations count="1">
    <dataValidation type="list" showInputMessage="1" promptTitle="Datakilde" prompt="Vælg &quot;Risikovurdering&quot; for jeres egen vurdering eller &quot;Eksempel&quot; for eksemplet." sqref="C4" xr:uid="{00000000-0002-0000-0200-000000000000}">
      <formula1>"Risikovurdering,Eksempel"</formula1>
      <formula2>0</formula2>
    </dataValidation>
  </dataValidations>
  <pageMargins left="0.4" right="0.4" top="1" bottom="1" header="0.511811023622047" footer="0.5"/>
  <pageSetup paperSize="9" fitToHeight="0" orientation="landscape" horizontalDpi="300" verticalDpi="300"/>
  <headerFooter>
    <oddFooter>&amp;L&amp;8 NIS2 Risikovurdering · Kasper Mensink&amp;R&amp;8 &amp;A · side &amp;P af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A99B0"/>
    <pageSetUpPr fitToPage="1"/>
  </sheetPr>
  <dimension ref="B1:D5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.42578125" customWidth="1"/>
    <col min="2" max="2" width="11" customWidth="1"/>
    <col min="3" max="3" width="42" customWidth="1"/>
    <col min="4" max="4" width="80" customWidth="1"/>
  </cols>
  <sheetData>
    <row r="1" spans="2:4" ht="36" customHeight="1" x14ac:dyDescent="0.25">
      <c r="B1" s="12" t="s">
        <v>40</v>
      </c>
      <c r="C1" s="12"/>
      <c r="D1" s="12"/>
    </row>
    <row r="2" spans="2:4" ht="19.5" customHeight="1" x14ac:dyDescent="0.25">
      <c r="B2" s="11" t="s">
        <v>205</v>
      </c>
      <c r="C2" s="11"/>
      <c r="D2" s="11"/>
    </row>
    <row r="4" spans="2:4" ht="19.5" customHeight="1" x14ac:dyDescent="0.25">
      <c r="B4" s="45" t="s">
        <v>206</v>
      </c>
      <c r="C4" s="45" t="s">
        <v>135</v>
      </c>
      <c r="D4" s="45" t="s">
        <v>49</v>
      </c>
    </row>
    <row r="5" spans="2:4" ht="21.75" customHeight="1" x14ac:dyDescent="0.25">
      <c r="B5" s="95" t="s">
        <v>198</v>
      </c>
      <c r="C5" s="95"/>
      <c r="D5" s="95"/>
    </row>
    <row r="6" spans="2:4" ht="36" customHeight="1" x14ac:dyDescent="0.25">
      <c r="B6" s="74" t="s">
        <v>207</v>
      </c>
      <c r="C6" s="21" t="s">
        <v>208</v>
      </c>
      <c r="D6" s="22" t="s">
        <v>209</v>
      </c>
    </row>
    <row r="7" spans="2:4" ht="36" customHeight="1" x14ac:dyDescent="0.25">
      <c r="B7" s="75" t="s">
        <v>210</v>
      </c>
      <c r="C7" s="27" t="s">
        <v>211</v>
      </c>
      <c r="D7" s="28" t="s">
        <v>212</v>
      </c>
    </row>
    <row r="8" spans="2:4" ht="36" customHeight="1" x14ac:dyDescent="0.25">
      <c r="B8" s="74" t="s">
        <v>213</v>
      </c>
      <c r="C8" s="21" t="s">
        <v>214</v>
      </c>
      <c r="D8" s="22" t="s">
        <v>215</v>
      </c>
    </row>
    <row r="9" spans="2:4" ht="36" customHeight="1" x14ac:dyDescent="0.25">
      <c r="B9" s="75" t="s">
        <v>216</v>
      </c>
      <c r="C9" s="27" t="s">
        <v>217</v>
      </c>
      <c r="D9" s="28" t="s">
        <v>218</v>
      </c>
    </row>
    <row r="10" spans="2:4" ht="21.75" customHeight="1" x14ac:dyDescent="0.25">
      <c r="B10" s="74" t="s">
        <v>219</v>
      </c>
      <c r="C10" s="21" t="s">
        <v>220</v>
      </c>
      <c r="D10" s="22" t="s">
        <v>221</v>
      </c>
    </row>
    <row r="11" spans="2:4" ht="36" customHeight="1" x14ac:dyDescent="0.25">
      <c r="B11" s="75" t="s">
        <v>222</v>
      </c>
      <c r="C11" s="27" t="s">
        <v>223</v>
      </c>
      <c r="D11" s="28" t="s">
        <v>224</v>
      </c>
    </row>
    <row r="12" spans="2:4" ht="36" customHeight="1" x14ac:dyDescent="0.25">
      <c r="B12" s="74" t="s">
        <v>225</v>
      </c>
      <c r="C12" s="21" t="s">
        <v>226</v>
      </c>
      <c r="D12" s="22" t="s">
        <v>227</v>
      </c>
    </row>
    <row r="13" spans="2:4" ht="21.75" customHeight="1" x14ac:dyDescent="0.25">
      <c r="B13" s="75" t="s">
        <v>228</v>
      </c>
      <c r="C13" s="27" t="s">
        <v>229</v>
      </c>
      <c r="D13" s="28" t="s">
        <v>230</v>
      </c>
    </row>
    <row r="14" spans="2:4" ht="36" customHeight="1" x14ac:dyDescent="0.25">
      <c r="B14" s="74" t="s">
        <v>231</v>
      </c>
      <c r="C14" s="21" t="s">
        <v>232</v>
      </c>
      <c r="D14" s="22" t="s">
        <v>233</v>
      </c>
    </row>
    <row r="15" spans="2:4" ht="21.75" customHeight="1" x14ac:dyDescent="0.25">
      <c r="B15" s="95" t="s">
        <v>199</v>
      </c>
      <c r="C15" s="95"/>
      <c r="D15" s="95"/>
    </row>
    <row r="16" spans="2:4" ht="36" customHeight="1" x14ac:dyDescent="0.25">
      <c r="B16" s="74" t="s">
        <v>234</v>
      </c>
      <c r="C16" s="21" t="s">
        <v>235</v>
      </c>
      <c r="D16" s="22" t="s">
        <v>236</v>
      </c>
    </row>
    <row r="17" spans="2:4" ht="36" customHeight="1" x14ac:dyDescent="0.25">
      <c r="B17" s="75" t="s">
        <v>237</v>
      </c>
      <c r="C17" s="27" t="s">
        <v>238</v>
      </c>
      <c r="D17" s="28" t="s">
        <v>239</v>
      </c>
    </row>
    <row r="18" spans="2:4" ht="36" customHeight="1" x14ac:dyDescent="0.25">
      <c r="B18" s="74" t="s">
        <v>240</v>
      </c>
      <c r="C18" s="21" t="s">
        <v>241</v>
      </c>
      <c r="D18" s="22" t="s">
        <v>242</v>
      </c>
    </row>
    <row r="19" spans="2:4" ht="36" customHeight="1" x14ac:dyDescent="0.25">
      <c r="B19" s="75" t="s">
        <v>243</v>
      </c>
      <c r="C19" s="27" t="s">
        <v>244</v>
      </c>
      <c r="D19" s="28" t="s">
        <v>245</v>
      </c>
    </row>
    <row r="20" spans="2:4" ht="36" customHeight="1" x14ac:dyDescent="0.25">
      <c r="B20" s="74" t="s">
        <v>246</v>
      </c>
      <c r="C20" s="21" t="s">
        <v>247</v>
      </c>
      <c r="D20" s="22" t="s">
        <v>248</v>
      </c>
    </row>
    <row r="21" spans="2:4" ht="36" customHeight="1" x14ac:dyDescent="0.25">
      <c r="B21" s="75" t="s">
        <v>249</v>
      </c>
      <c r="C21" s="27" t="s">
        <v>250</v>
      </c>
      <c r="D21" s="28" t="s">
        <v>251</v>
      </c>
    </row>
    <row r="22" spans="2:4" ht="36" customHeight="1" x14ac:dyDescent="0.25">
      <c r="B22" s="74" t="s">
        <v>252</v>
      </c>
      <c r="C22" s="21" t="s">
        <v>253</v>
      </c>
      <c r="D22" s="22" t="s">
        <v>254</v>
      </c>
    </row>
    <row r="23" spans="2:4" ht="36" customHeight="1" x14ac:dyDescent="0.25">
      <c r="B23" s="75" t="s">
        <v>255</v>
      </c>
      <c r="C23" s="27" t="s">
        <v>256</v>
      </c>
      <c r="D23" s="28" t="s">
        <v>257</v>
      </c>
    </row>
    <row r="24" spans="2:4" ht="21.75" customHeight="1" x14ac:dyDescent="0.25">
      <c r="B24" s="95" t="s">
        <v>200</v>
      </c>
      <c r="C24" s="95"/>
      <c r="D24" s="95"/>
    </row>
    <row r="25" spans="2:4" ht="36" customHeight="1" x14ac:dyDescent="0.25">
      <c r="B25" s="74" t="s">
        <v>258</v>
      </c>
      <c r="C25" s="21" t="s">
        <v>259</v>
      </c>
      <c r="D25" s="22" t="s">
        <v>260</v>
      </c>
    </row>
    <row r="26" spans="2:4" ht="21.75" customHeight="1" x14ac:dyDescent="0.25">
      <c r="B26" s="75" t="s">
        <v>261</v>
      </c>
      <c r="C26" s="27" t="s">
        <v>262</v>
      </c>
      <c r="D26" s="28" t="s">
        <v>263</v>
      </c>
    </row>
    <row r="27" spans="2:4" ht="36" customHeight="1" x14ac:dyDescent="0.25">
      <c r="B27" s="74" t="s">
        <v>264</v>
      </c>
      <c r="C27" s="21" t="s">
        <v>265</v>
      </c>
      <c r="D27" s="22" t="s">
        <v>266</v>
      </c>
    </row>
    <row r="28" spans="2:4" ht="36" customHeight="1" x14ac:dyDescent="0.25">
      <c r="B28" s="75" t="s">
        <v>267</v>
      </c>
      <c r="C28" s="27" t="s">
        <v>268</v>
      </c>
      <c r="D28" s="28" t="s">
        <v>269</v>
      </c>
    </row>
    <row r="29" spans="2:4" ht="21.75" customHeight="1" x14ac:dyDescent="0.25">
      <c r="B29" s="74" t="s">
        <v>270</v>
      </c>
      <c r="C29" s="21" t="s">
        <v>271</v>
      </c>
      <c r="D29" s="22" t="s">
        <v>272</v>
      </c>
    </row>
    <row r="30" spans="2:4" ht="36" customHeight="1" x14ac:dyDescent="0.25">
      <c r="B30" s="75" t="s">
        <v>273</v>
      </c>
      <c r="C30" s="27" t="s">
        <v>274</v>
      </c>
      <c r="D30" s="28" t="s">
        <v>275</v>
      </c>
    </row>
    <row r="31" spans="2:4" ht="36" customHeight="1" x14ac:dyDescent="0.25">
      <c r="B31" s="74" t="s">
        <v>276</v>
      </c>
      <c r="C31" s="21" t="s">
        <v>277</v>
      </c>
      <c r="D31" s="22" t="s">
        <v>278</v>
      </c>
    </row>
    <row r="32" spans="2:4" ht="36" customHeight="1" x14ac:dyDescent="0.25">
      <c r="B32" s="75" t="s">
        <v>279</v>
      </c>
      <c r="C32" s="27" t="s">
        <v>280</v>
      </c>
      <c r="D32" s="28" t="s">
        <v>281</v>
      </c>
    </row>
    <row r="33" spans="2:4" ht="21.75" customHeight="1" x14ac:dyDescent="0.25">
      <c r="B33" s="95" t="s">
        <v>201</v>
      </c>
      <c r="C33" s="95"/>
      <c r="D33" s="95"/>
    </row>
    <row r="34" spans="2:4" ht="36" customHeight="1" x14ac:dyDescent="0.25">
      <c r="B34" s="74" t="s">
        <v>282</v>
      </c>
      <c r="C34" s="21" t="s">
        <v>283</v>
      </c>
      <c r="D34" s="22" t="s">
        <v>284</v>
      </c>
    </row>
    <row r="35" spans="2:4" ht="36" customHeight="1" x14ac:dyDescent="0.25">
      <c r="B35" s="75" t="s">
        <v>285</v>
      </c>
      <c r="C35" s="27" t="s">
        <v>286</v>
      </c>
      <c r="D35" s="28" t="s">
        <v>287</v>
      </c>
    </row>
    <row r="36" spans="2:4" ht="36" customHeight="1" x14ac:dyDescent="0.25">
      <c r="B36" s="74" t="s">
        <v>288</v>
      </c>
      <c r="C36" s="21" t="s">
        <v>289</v>
      </c>
      <c r="D36" s="22" t="s">
        <v>290</v>
      </c>
    </row>
    <row r="37" spans="2:4" ht="36" customHeight="1" x14ac:dyDescent="0.25">
      <c r="B37" s="75" t="s">
        <v>291</v>
      </c>
      <c r="C37" s="27" t="s">
        <v>292</v>
      </c>
      <c r="D37" s="28" t="s">
        <v>293</v>
      </c>
    </row>
    <row r="38" spans="2:4" ht="36" customHeight="1" x14ac:dyDescent="0.25">
      <c r="B38" s="74" t="s">
        <v>294</v>
      </c>
      <c r="C38" s="21" t="s">
        <v>295</v>
      </c>
      <c r="D38" s="22" t="s">
        <v>296</v>
      </c>
    </row>
    <row r="39" spans="2:4" ht="36" customHeight="1" x14ac:dyDescent="0.25">
      <c r="B39" s="75" t="s">
        <v>297</v>
      </c>
      <c r="C39" s="27" t="s">
        <v>298</v>
      </c>
      <c r="D39" s="28" t="s">
        <v>299</v>
      </c>
    </row>
    <row r="40" spans="2:4" ht="36" customHeight="1" x14ac:dyDescent="0.25">
      <c r="B40" s="74" t="s">
        <v>300</v>
      </c>
      <c r="C40" s="21" t="s">
        <v>301</v>
      </c>
      <c r="D40" s="22" t="s">
        <v>302</v>
      </c>
    </row>
    <row r="41" spans="2:4" ht="36" customHeight="1" x14ac:dyDescent="0.25">
      <c r="B41" s="75" t="s">
        <v>303</v>
      </c>
      <c r="C41" s="27" t="s">
        <v>304</v>
      </c>
      <c r="D41" s="28" t="s">
        <v>305</v>
      </c>
    </row>
    <row r="42" spans="2:4" ht="21.75" customHeight="1" x14ac:dyDescent="0.25">
      <c r="B42" s="95" t="s">
        <v>202</v>
      </c>
      <c r="C42" s="95"/>
      <c r="D42" s="95"/>
    </row>
    <row r="43" spans="2:4" ht="36" customHeight="1" x14ac:dyDescent="0.25">
      <c r="B43" s="74" t="s">
        <v>306</v>
      </c>
      <c r="C43" s="21" t="s">
        <v>307</v>
      </c>
      <c r="D43" s="22" t="s">
        <v>308</v>
      </c>
    </row>
    <row r="44" spans="2:4" ht="36" customHeight="1" x14ac:dyDescent="0.25">
      <c r="B44" s="75" t="s">
        <v>309</v>
      </c>
      <c r="C44" s="27" t="s">
        <v>310</v>
      </c>
      <c r="D44" s="28" t="s">
        <v>311</v>
      </c>
    </row>
    <row r="45" spans="2:4" ht="36" customHeight="1" x14ac:dyDescent="0.25">
      <c r="B45" s="74" t="s">
        <v>312</v>
      </c>
      <c r="C45" s="21" t="s">
        <v>313</v>
      </c>
      <c r="D45" s="22" t="s">
        <v>314</v>
      </c>
    </row>
    <row r="46" spans="2:4" ht="36" customHeight="1" x14ac:dyDescent="0.25">
      <c r="B46" s="75" t="s">
        <v>315</v>
      </c>
      <c r="C46" s="27" t="s">
        <v>316</v>
      </c>
      <c r="D46" s="28" t="s">
        <v>317</v>
      </c>
    </row>
    <row r="47" spans="2:4" ht="36" customHeight="1" x14ac:dyDescent="0.25">
      <c r="B47" s="74" t="s">
        <v>318</v>
      </c>
      <c r="C47" s="21" t="s">
        <v>319</v>
      </c>
      <c r="D47" s="22" t="s">
        <v>320</v>
      </c>
    </row>
    <row r="48" spans="2:4" ht="36" customHeight="1" x14ac:dyDescent="0.25">
      <c r="B48" s="75" t="s">
        <v>321</v>
      </c>
      <c r="C48" s="27" t="s">
        <v>322</v>
      </c>
      <c r="D48" s="28" t="s">
        <v>323</v>
      </c>
    </row>
    <row r="49" spans="2:4" ht="21.75" customHeight="1" x14ac:dyDescent="0.25">
      <c r="B49" s="95" t="s">
        <v>203</v>
      </c>
      <c r="C49" s="95"/>
      <c r="D49" s="95"/>
    </row>
    <row r="50" spans="2:4" ht="36" customHeight="1" x14ac:dyDescent="0.25">
      <c r="B50" s="74" t="s">
        <v>324</v>
      </c>
      <c r="C50" s="21" t="s">
        <v>325</v>
      </c>
      <c r="D50" s="22" t="s">
        <v>326</v>
      </c>
    </row>
    <row r="51" spans="2:4" ht="36" customHeight="1" x14ac:dyDescent="0.25">
      <c r="B51" s="75" t="s">
        <v>327</v>
      </c>
      <c r="C51" s="27" t="s">
        <v>328</v>
      </c>
      <c r="D51" s="28" t="s">
        <v>329</v>
      </c>
    </row>
    <row r="52" spans="2:4" ht="36" customHeight="1" x14ac:dyDescent="0.25">
      <c r="B52" s="74" t="s">
        <v>330</v>
      </c>
      <c r="C52" s="21" t="s">
        <v>331</v>
      </c>
      <c r="D52" s="22" t="s">
        <v>332</v>
      </c>
    </row>
    <row r="53" spans="2:4" ht="36" customHeight="1" x14ac:dyDescent="0.25">
      <c r="B53" s="75" t="s">
        <v>333</v>
      </c>
      <c r="C53" s="27" t="s">
        <v>334</v>
      </c>
      <c r="D53" s="28" t="s">
        <v>335</v>
      </c>
    </row>
    <row r="54" spans="2:4" ht="36" customHeight="1" x14ac:dyDescent="0.25">
      <c r="B54" s="74" t="s">
        <v>336</v>
      </c>
      <c r="C54" s="21" t="s">
        <v>337</v>
      </c>
      <c r="D54" s="22" t="s">
        <v>338</v>
      </c>
    </row>
    <row r="55" spans="2:4" ht="36" customHeight="1" x14ac:dyDescent="0.25">
      <c r="B55" s="75" t="s">
        <v>339</v>
      </c>
      <c r="C55" s="27" t="s">
        <v>340</v>
      </c>
      <c r="D55" s="28" t="s">
        <v>341</v>
      </c>
    </row>
    <row r="56" spans="2:4" ht="36" customHeight="1" x14ac:dyDescent="0.25">
      <c r="B56" s="74" t="s">
        <v>342</v>
      </c>
      <c r="C56" s="21" t="s">
        <v>343</v>
      </c>
      <c r="D56" s="22" t="s">
        <v>344</v>
      </c>
    </row>
    <row r="57" spans="2:4" ht="36" customHeight="1" x14ac:dyDescent="0.25">
      <c r="B57" s="75" t="s">
        <v>345</v>
      </c>
      <c r="C57" s="27" t="s">
        <v>346</v>
      </c>
      <c r="D57" s="28" t="s">
        <v>347</v>
      </c>
    </row>
  </sheetData>
  <mergeCells count="8">
    <mergeCell ref="B33:D33"/>
    <mergeCell ref="B42:D42"/>
    <mergeCell ref="B49:D49"/>
    <mergeCell ref="B1:D1"/>
    <mergeCell ref="B2:D2"/>
    <mergeCell ref="B5:D5"/>
    <mergeCell ref="B15:D15"/>
    <mergeCell ref="B24:D24"/>
  </mergeCells>
  <pageMargins left="0.4" right="0.4" top="1" bottom="1" header="0.511811023622047" footer="0.5"/>
  <pageSetup paperSize="9" fitToHeight="0" orientation="portrait" horizontalDpi="300" verticalDpi="300"/>
  <headerFooter>
    <oddFooter>&amp;L&amp;8 NIS2 Risikovurdering · Kasper Mensink&amp;R&amp;8 &amp;A · side &amp;P af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7C2D1"/>
    <pageSetUpPr fitToPage="1"/>
  </sheetPr>
  <dimension ref="B1:C26"/>
  <sheetViews>
    <sheetView showGridLines="0" zoomScaleNormal="100" workbookViewId="0"/>
  </sheetViews>
  <sheetFormatPr defaultColWidth="8.7109375" defaultRowHeight="15" x14ac:dyDescent="0.25"/>
  <cols>
    <col min="1" max="1" width="2.42578125" customWidth="1"/>
    <col min="2" max="2" width="30" customWidth="1"/>
    <col min="3" max="3" width="92" customWidth="1"/>
    <col min="4" max="4" width="2.42578125" customWidth="1"/>
  </cols>
  <sheetData>
    <row r="1" spans="2:3" ht="36" customHeight="1" x14ac:dyDescent="0.25">
      <c r="B1" s="12" t="s">
        <v>348</v>
      </c>
      <c r="C1" s="12"/>
    </row>
    <row r="2" spans="2:3" ht="19.5" customHeight="1" x14ac:dyDescent="0.25">
      <c r="B2" s="11" t="s">
        <v>349</v>
      </c>
      <c r="C2" s="11"/>
    </row>
    <row r="4" spans="2:3" ht="25.5" customHeight="1" x14ac:dyDescent="0.25">
      <c r="B4" s="10" t="s">
        <v>350</v>
      </c>
      <c r="C4" s="10"/>
    </row>
    <row r="5" spans="2:3" ht="121.5" customHeight="1" x14ac:dyDescent="0.25">
      <c r="B5" s="9" t="s">
        <v>351</v>
      </c>
      <c r="C5" s="9"/>
    </row>
    <row r="7" spans="2:3" ht="25.5" customHeight="1" x14ac:dyDescent="0.25">
      <c r="B7" s="10" t="s">
        <v>352</v>
      </c>
      <c r="C7" s="10"/>
    </row>
    <row r="8" spans="2:3" ht="79.5" customHeight="1" x14ac:dyDescent="0.25">
      <c r="B8" s="24" t="s">
        <v>353</v>
      </c>
      <c r="C8" s="22" t="s">
        <v>354</v>
      </c>
    </row>
    <row r="9" spans="2:3" ht="93.75" customHeight="1" x14ac:dyDescent="0.25">
      <c r="B9" s="24" t="s">
        <v>355</v>
      </c>
      <c r="C9" s="22" t="s">
        <v>356</v>
      </c>
    </row>
    <row r="10" spans="2:3" ht="93.75" customHeight="1" x14ac:dyDescent="0.25">
      <c r="B10" s="24" t="s">
        <v>357</v>
      </c>
      <c r="C10" s="22" t="s">
        <v>358</v>
      </c>
    </row>
    <row r="11" spans="2:3" ht="79.5" customHeight="1" x14ac:dyDescent="0.25">
      <c r="B11" s="24" t="s">
        <v>359</v>
      </c>
      <c r="C11" s="22" t="s">
        <v>360</v>
      </c>
    </row>
    <row r="12" spans="2:3" ht="108" customHeight="1" x14ac:dyDescent="0.25">
      <c r="B12" s="24" t="s">
        <v>361</v>
      </c>
      <c r="C12" s="22" t="s">
        <v>362</v>
      </c>
    </row>
    <row r="13" spans="2:3" ht="93.75" customHeight="1" x14ac:dyDescent="0.25">
      <c r="B13" s="24" t="s">
        <v>363</v>
      </c>
      <c r="C13" s="22" t="s">
        <v>364</v>
      </c>
    </row>
    <row r="14" spans="2:3" ht="25.5" customHeight="1" x14ac:dyDescent="0.25">
      <c r="B14" s="10" t="s">
        <v>365</v>
      </c>
      <c r="C14" s="10"/>
    </row>
    <row r="15" spans="2:3" ht="247.5" customHeight="1" x14ac:dyDescent="0.25">
      <c r="B15" s="9" t="s">
        <v>366</v>
      </c>
      <c r="C15" s="9"/>
    </row>
    <row r="17" spans="2:3" ht="25.5" customHeight="1" x14ac:dyDescent="0.25">
      <c r="B17" s="10" t="s">
        <v>367</v>
      </c>
      <c r="C17" s="10"/>
    </row>
    <row r="18" spans="2:3" ht="247.5" customHeight="1" x14ac:dyDescent="0.25">
      <c r="B18" s="9" t="s">
        <v>368</v>
      </c>
      <c r="C18" s="9"/>
    </row>
    <row r="21" spans="2:3" ht="25.5" customHeight="1" x14ac:dyDescent="0.25">
      <c r="B21" s="10" t="s">
        <v>369</v>
      </c>
      <c r="C21" s="10"/>
    </row>
    <row r="22" spans="2:3" x14ac:dyDescent="0.25">
      <c r="B22" s="76" t="s">
        <v>370</v>
      </c>
    </row>
    <row r="23" spans="2:3" ht="30" customHeight="1" x14ac:dyDescent="0.25">
      <c r="B23" s="77" t="s">
        <v>371</v>
      </c>
      <c r="C23" s="78"/>
    </row>
    <row r="24" spans="2:3" ht="30" customHeight="1" x14ac:dyDescent="0.25">
      <c r="B24" s="77" t="s">
        <v>372</v>
      </c>
      <c r="C24" s="78"/>
    </row>
    <row r="25" spans="2:3" ht="30" customHeight="1" x14ac:dyDescent="0.25">
      <c r="B25" s="77" t="s">
        <v>128</v>
      </c>
      <c r="C25" s="78"/>
    </row>
    <row r="26" spans="2:3" ht="43.5" customHeight="1" x14ac:dyDescent="0.25">
      <c r="B26" s="77" t="s">
        <v>373</v>
      </c>
      <c r="C26" s="78"/>
    </row>
  </sheetData>
  <mergeCells count="10">
    <mergeCell ref="B14:C14"/>
    <mergeCell ref="B15:C15"/>
    <mergeCell ref="B17:C17"/>
    <mergeCell ref="B18:C18"/>
    <mergeCell ref="B21:C21"/>
    <mergeCell ref="B1:C1"/>
    <mergeCell ref="B2:C2"/>
    <mergeCell ref="B4:C4"/>
    <mergeCell ref="B5:C5"/>
    <mergeCell ref="B7:C7"/>
  </mergeCells>
  <pageMargins left="0.4" right="0.4" top="1" bottom="1" header="0.511811023622047" footer="0.5"/>
  <pageSetup paperSize="9" fitToHeight="0" orientation="portrait" horizontalDpi="300" verticalDpi="300"/>
  <headerFooter>
    <oddFooter>&amp;L&amp;8 NIS2 Risikovurdering · Kasper Mensink&amp;R&amp;8 &amp;A · side &amp;P af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7C2D1"/>
    <pageSetUpPr fitToPage="1"/>
  </sheetPr>
  <dimension ref="A1:T37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9" sqref="B9"/>
    </sheetView>
  </sheetViews>
  <sheetFormatPr defaultColWidth="8.7109375" defaultRowHeight="15" x14ac:dyDescent="0.25"/>
  <cols>
    <col min="1" max="1" width="28" customWidth="1"/>
    <col min="2" max="2" width="30" customWidth="1"/>
    <col min="3" max="3" width="21" customWidth="1"/>
    <col min="4" max="4" width="34" customWidth="1"/>
    <col min="5" max="5" width="11" customWidth="1"/>
    <col min="6" max="6" width="34" customWidth="1"/>
    <col min="7" max="7" width="11" customWidth="1"/>
    <col min="8" max="8" width="34" customWidth="1"/>
    <col min="9" max="11" width="10" customWidth="1"/>
    <col min="12" max="12" width="12" customWidth="1"/>
    <col min="13" max="13" width="36" customWidth="1"/>
    <col min="14" max="14" width="18" customWidth="1"/>
    <col min="15" max="16" width="11" customWidth="1"/>
    <col min="17" max="17" width="13" customWidth="1"/>
    <col min="18" max="18" width="38" customWidth="1"/>
    <col min="19" max="19" width="11" customWidth="1"/>
    <col min="20" max="20" width="32" customWidth="1"/>
  </cols>
  <sheetData>
    <row r="1" spans="1:20" ht="36" customHeight="1" x14ac:dyDescent="0.25">
      <c r="A1" s="12" t="s">
        <v>374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ht="19.5" customHeight="1" x14ac:dyDescent="0.25">
      <c r="A2" s="11" t="s">
        <v>375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ht="21.75" customHeight="1" x14ac:dyDescent="0.25">
      <c r="A3" s="35" t="s">
        <v>126</v>
      </c>
      <c r="B3" s="2" t="s">
        <v>376</v>
      </c>
      <c r="C3" s="2"/>
      <c r="D3" s="2"/>
      <c r="E3" s="1" t="s">
        <v>127</v>
      </c>
      <c r="F3" s="1"/>
      <c r="G3" s="2" t="s">
        <v>377</v>
      </c>
      <c r="H3" s="2"/>
      <c r="I3" s="1" t="s">
        <v>128</v>
      </c>
      <c r="J3" s="1"/>
      <c r="K3" s="2" t="s">
        <v>378</v>
      </c>
      <c r="L3" s="2"/>
      <c r="M3" s="37" t="s">
        <v>129</v>
      </c>
      <c r="N3" s="2" t="s">
        <v>379</v>
      </c>
      <c r="O3" s="2"/>
      <c r="P3" s="37" t="s">
        <v>130</v>
      </c>
      <c r="Q3" s="36" t="s">
        <v>380</v>
      </c>
      <c r="R3" s="79" t="s">
        <v>131</v>
      </c>
      <c r="S3" s="79"/>
      <c r="T3" s="79"/>
    </row>
    <row r="5" spans="1:20" ht="19.5" customHeight="1" x14ac:dyDescent="0.25">
      <c r="A5" s="80" t="s">
        <v>132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1" t="s">
        <v>133</v>
      </c>
      <c r="N5" s="81"/>
      <c r="O5" s="81"/>
      <c r="P5" s="81"/>
      <c r="Q5" s="81"/>
      <c r="R5" s="81"/>
      <c r="S5" s="81"/>
      <c r="T5" s="81"/>
    </row>
    <row r="6" spans="1:20" ht="43.5" customHeight="1" x14ac:dyDescent="0.25">
      <c r="A6" s="38" t="s">
        <v>134</v>
      </c>
      <c r="B6" s="38" t="s">
        <v>135</v>
      </c>
      <c r="C6" s="38" t="s">
        <v>113</v>
      </c>
      <c r="D6" s="38" t="s">
        <v>136</v>
      </c>
      <c r="E6" s="39" t="s">
        <v>137</v>
      </c>
      <c r="F6" s="38" t="s">
        <v>138</v>
      </c>
      <c r="G6" s="39" t="s">
        <v>139</v>
      </c>
      <c r="H6" s="38" t="s">
        <v>140</v>
      </c>
      <c r="I6" s="39" t="s">
        <v>141</v>
      </c>
      <c r="J6" s="39" t="s">
        <v>142</v>
      </c>
      <c r="K6" s="39" t="s">
        <v>143</v>
      </c>
      <c r="L6" s="39" t="s">
        <v>144</v>
      </c>
      <c r="M6" s="38" t="s">
        <v>145</v>
      </c>
      <c r="N6" s="38" t="s">
        <v>146</v>
      </c>
      <c r="O6" s="39" t="s">
        <v>147</v>
      </c>
      <c r="P6" s="39" t="s">
        <v>148</v>
      </c>
      <c r="Q6" s="39" t="s">
        <v>149</v>
      </c>
      <c r="R6" s="38" t="s">
        <v>150</v>
      </c>
      <c r="S6" s="39" t="s">
        <v>151</v>
      </c>
      <c r="T6" s="38" t="s">
        <v>152</v>
      </c>
    </row>
    <row r="7" spans="1:20" ht="19.5" customHeight="1" x14ac:dyDescent="0.25">
      <c r="A7" s="82" t="s">
        <v>153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</row>
    <row r="8" spans="1:20" ht="70.5" customHeight="1" x14ac:dyDescent="0.25">
      <c r="A8" s="40" t="s">
        <v>381</v>
      </c>
      <c r="B8" s="40" t="s">
        <v>382</v>
      </c>
      <c r="C8" s="40" t="s">
        <v>377</v>
      </c>
      <c r="D8" s="40" t="s">
        <v>383</v>
      </c>
      <c r="E8" s="41">
        <v>2</v>
      </c>
      <c r="F8" s="40" t="s">
        <v>384</v>
      </c>
      <c r="G8" s="41">
        <v>4</v>
      </c>
      <c r="H8" s="40" t="s">
        <v>385</v>
      </c>
      <c r="I8" s="42">
        <f>IF(OR(E8="",G8=""),"",E8*G8)</f>
        <v>8</v>
      </c>
      <c r="J8" s="42" t="str">
        <f>IF(I8="","",IF(I8&lt;5,"Lav",IF(I8&lt;10,"Middel","Høj")))</f>
        <v>Middel</v>
      </c>
      <c r="K8" s="41">
        <v>3</v>
      </c>
      <c r="L8" s="41" t="s">
        <v>386</v>
      </c>
      <c r="M8" s="40" t="s">
        <v>387</v>
      </c>
      <c r="N8" s="40" t="s">
        <v>377</v>
      </c>
      <c r="O8" s="41">
        <v>4</v>
      </c>
      <c r="P8" s="42" t="str">
        <f>IF(O8="","",IF(O8&lt;5,"Lav",IF(O8&lt;10,"Middel","Høj")))</f>
        <v>Lav</v>
      </c>
      <c r="Q8" s="41" t="s">
        <v>386</v>
      </c>
      <c r="R8" s="40" t="s">
        <v>388</v>
      </c>
      <c r="S8" s="41" t="s">
        <v>386</v>
      </c>
      <c r="T8" s="40" t="s">
        <v>389</v>
      </c>
    </row>
    <row r="9" spans="1:20" ht="70.5" customHeight="1" x14ac:dyDescent="0.25">
      <c r="A9" s="40" t="s">
        <v>390</v>
      </c>
      <c r="B9" s="40" t="s">
        <v>391</v>
      </c>
      <c r="C9" s="40" t="s">
        <v>377</v>
      </c>
      <c r="D9" s="40" t="s">
        <v>392</v>
      </c>
      <c r="E9" s="41">
        <v>2</v>
      </c>
      <c r="F9" s="40" t="s">
        <v>393</v>
      </c>
      <c r="G9" s="41">
        <v>4</v>
      </c>
      <c r="H9" s="40" t="s">
        <v>394</v>
      </c>
      <c r="I9" s="42">
        <f>IF(OR(E9="",G9=""),"",E9*G9)</f>
        <v>8</v>
      </c>
      <c r="J9" s="42" t="str">
        <f>IF(I9="","",IF(I9&lt;5,"Lav",IF(I9&lt;10,"Middel","Høj")))</f>
        <v>Middel</v>
      </c>
      <c r="K9" s="41">
        <v>2</v>
      </c>
      <c r="L9" s="41" t="s">
        <v>395</v>
      </c>
      <c r="M9" s="40" t="s">
        <v>396</v>
      </c>
      <c r="N9" s="40" t="s">
        <v>377</v>
      </c>
      <c r="O9" s="41">
        <v>5</v>
      </c>
      <c r="P9" s="42" t="str">
        <f>IF(O9="","",IF(O9&lt;5,"Lav",IF(O9&lt;10,"Middel","Høj")))</f>
        <v>Middel</v>
      </c>
      <c r="Q9" s="41" t="s">
        <v>386</v>
      </c>
      <c r="R9" s="40" t="s">
        <v>397</v>
      </c>
      <c r="S9" s="41" t="s">
        <v>386</v>
      </c>
      <c r="T9" s="40" t="s">
        <v>398</v>
      </c>
    </row>
    <row r="10" spans="1:20" ht="57.75" customHeight="1" x14ac:dyDescent="0.25">
      <c r="A10" s="40" t="s">
        <v>399</v>
      </c>
      <c r="B10" s="40" t="s">
        <v>400</v>
      </c>
      <c r="C10" s="40" t="s">
        <v>377</v>
      </c>
      <c r="D10" s="40" t="s">
        <v>401</v>
      </c>
      <c r="E10" s="41">
        <v>3</v>
      </c>
      <c r="F10" s="40" t="s">
        <v>402</v>
      </c>
      <c r="G10" s="41">
        <v>4</v>
      </c>
      <c r="H10" s="40" t="s">
        <v>403</v>
      </c>
      <c r="I10" s="42">
        <f>IF(OR(E10="",G10=""),"",E10*G10)</f>
        <v>12</v>
      </c>
      <c r="J10" s="42" t="str">
        <f>IF(I10="","",IF(I10&lt;5,"Lav",IF(I10&lt;10,"Middel","Høj")))</f>
        <v>Høj</v>
      </c>
      <c r="K10" s="41">
        <v>2</v>
      </c>
      <c r="L10" s="41" t="s">
        <v>395</v>
      </c>
      <c r="M10" s="40" t="s">
        <v>404</v>
      </c>
      <c r="N10" s="40" t="s">
        <v>377</v>
      </c>
      <c r="O10" s="41">
        <v>6</v>
      </c>
      <c r="P10" s="42" t="str">
        <f>IF(O10="","",IF(O10&lt;5,"Lav",IF(O10&lt;10,"Middel","Høj")))</f>
        <v>Middel</v>
      </c>
      <c r="Q10" s="41" t="s">
        <v>395</v>
      </c>
      <c r="R10" s="40" t="s">
        <v>405</v>
      </c>
      <c r="S10" s="41" t="s">
        <v>395</v>
      </c>
      <c r="T10" s="40" t="s">
        <v>406</v>
      </c>
    </row>
    <row r="11" spans="1:20" ht="57.75" customHeight="1" x14ac:dyDescent="0.25">
      <c r="A11" s="40" t="s">
        <v>407</v>
      </c>
      <c r="B11" s="40" t="s">
        <v>408</v>
      </c>
      <c r="C11" s="40" t="s">
        <v>377</v>
      </c>
      <c r="D11" s="40" t="s">
        <v>409</v>
      </c>
      <c r="E11" s="41">
        <v>3</v>
      </c>
      <c r="F11" s="40" t="s">
        <v>410</v>
      </c>
      <c r="G11" s="41">
        <v>3</v>
      </c>
      <c r="H11" s="40" t="s">
        <v>411</v>
      </c>
      <c r="I11" s="42">
        <f>IF(OR(E11="",G11=""),"",E11*G11)</f>
        <v>9</v>
      </c>
      <c r="J11" s="42" t="str">
        <f>IF(I11="","",IF(I11&lt;5,"Lav",IF(I11&lt;10,"Middel","Høj")))</f>
        <v>Middel</v>
      </c>
      <c r="K11" s="41">
        <v>2</v>
      </c>
      <c r="L11" s="41" t="s">
        <v>395</v>
      </c>
      <c r="M11" s="40" t="s">
        <v>412</v>
      </c>
      <c r="N11" s="40" t="s">
        <v>377</v>
      </c>
      <c r="O11" s="41">
        <v>4</v>
      </c>
      <c r="P11" s="42" t="str">
        <f>IF(O11="","",IF(O11&lt;5,"Lav",IF(O11&lt;10,"Middel","Høj")))</f>
        <v>Lav</v>
      </c>
      <c r="Q11" s="41" t="s">
        <v>386</v>
      </c>
      <c r="R11" s="40" t="s">
        <v>413</v>
      </c>
      <c r="S11" s="41" t="s">
        <v>386</v>
      </c>
      <c r="T11" s="40" t="s">
        <v>414</v>
      </c>
    </row>
    <row r="12" spans="1:20" ht="70.5" customHeight="1" x14ac:dyDescent="0.25">
      <c r="A12" s="40" t="s">
        <v>415</v>
      </c>
      <c r="B12" s="40" t="s">
        <v>416</v>
      </c>
      <c r="C12" s="40" t="s">
        <v>417</v>
      </c>
      <c r="D12" s="40" t="s">
        <v>418</v>
      </c>
      <c r="E12" s="41">
        <v>2</v>
      </c>
      <c r="F12" s="40" t="s">
        <v>419</v>
      </c>
      <c r="G12" s="41">
        <v>5</v>
      </c>
      <c r="H12" s="40" t="s">
        <v>420</v>
      </c>
      <c r="I12" s="42">
        <f>IF(OR(E12="",G12=""),"",E12*G12)</f>
        <v>10</v>
      </c>
      <c r="J12" s="42" t="str">
        <f>IF(I12="","",IF(I12&lt;5,"Lav",IF(I12&lt;10,"Middel","Høj")))</f>
        <v>Høj</v>
      </c>
      <c r="K12" s="41">
        <v>1</v>
      </c>
      <c r="L12" s="41" t="s">
        <v>395</v>
      </c>
      <c r="M12" s="40" t="s">
        <v>421</v>
      </c>
      <c r="N12" s="40" t="s">
        <v>422</v>
      </c>
      <c r="O12" s="41">
        <v>4</v>
      </c>
      <c r="P12" s="42" t="str">
        <f>IF(O12="","",IF(O12&lt;5,"Lav",IF(O12&lt;10,"Middel","Høj")))</f>
        <v>Lav</v>
      </c>
      <c r="Q12" s="41" t="s">
        <v>395</v>
      </c>
      <c r="R12" s="40" t="s">
        <v>423</v>
      </c>
      <c r="S12" s="41" t="s">
        <v>395</v>
      </c>
      <c r="T12" s="40" t="s">
        <v>424</v>
      </c>
    </row>
    <row r="13" spans="1:20" ht="19.5" customHeight="1" x14ac:dyDescent="0.25">
      <c r="A13" s="82" t="s">
        <v>154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</row>
    <row r="14" spans="1:20" ht="45" customHeight="1" x14ac:dyDescent="0.25">
      <c r="A14" s="40" t="s">
        <v>425</v>
      </c>
      <c r="B14" s="40" t="s">
        <v>426</v>
      </c>
      <c r="C14" s="40" t="s">
        <v>427</v>
      </c>
      <c r="D14" s="40" t="s">
        <v>428</v>
      </c>
      <c r="E14" s="41">
        <v>2</v>
      </c>
      <c r="F14" s="40" t="s">
        <v>429</v>
      </c>
      <c r="G14" s="41">
        <v>4</v>
      </c>
      <c r="H14" s="40" t="s">
        <v>430</v>
      </c>
      <c r="I14" s="42">
        <f>IF(OR(E14="",G14=""),"",E14*G14)</f>
        <v>8</v>
      </c>
      <c r="J14" s="42" t="str">
        <f>IF(I14="","",IF(I14&lt;5,"Lav",IF(I14&lt;10,"Middel","Høj")))</f>
        <v>Middel</v>
      </c>
      <c r="K14" s="41">
        <v>2</v>
      </c>
      <c r="L14" s="41" t="s">
        <v>395</v>
      </c>
      <c r="M14" s="40" t="s">
        <v>431</v>
      </c>
      <c r="N14" s="40" t="s">
        <v>377</v>
      </c>
      <c r="O14" s="41">
        <v>4</v>
      </c>
      <c r="P14" s="42" t="str">
        <f>IF(O14="","",IF(O14&lt;5,"Lav",IF(O14&lt;10,"Middel","Høj")))</f>
        <v>Lav</v>
      </c>
      <c r="Q14" s="41" t="s">
        <v>386</v>
      </c>
      <c r="R14" s="40" t="s">
        <v>432</v>
      </c>
      <c r="S14" s="41" t="s">
        <v>386</v>
      </c>
      <c r="T14" s="40" t="s">
        <v>433</v>
      </c>
    </row>
    <row r="15" spans="1:20" ht="45" customHeight="1" x14ac:dyDescent="0.25">
      <c r="A15" s="40" t="s">
        <v>434</v>
      </c>
      <c r="B15" s="40" t="s">
        <v>435</v>
      </c>
      <c r="C15" s="40" t="s">
        <v>377</v>
      </c>
      <c r="D15" s="40" t="s">
        <v>436</v>
      </c>
      <c r="E15" s="41">
        <v>4</v>
      </c>
      <c r="F15" s="40" t="s">
        <v>437</v>
      </c>
      <c r="G15" s="41">
        <v>3</v>
      </c>
      <c r="H15" s="40" t="s">
        <v>438</v>
      </c>
      <c r="I15" s="42">
        <f>IF(OR(E15="",G15=""),"",E15*G15)</f>
        <v>12</v>
      </c>
      <c r="J15" s="42" t="str">
        <f>IF(I15="","",IF(I15&lt;5,"Lav",IF(I15&lt;10,"Middel","Høj")))</f>
        <v>Høj</v>
      </c>
      <c r="K15" s="41">
        <v>3</v>
      </c>
      <c r="L15" s="41" t="s">
        <v>395</v>
      </c>
      <c r="M15" s="40" t="s">
        <v>439</v>
      </c>
      <c r="N15" s="40" t="s">
        <v>377</v>
      </c>
      <c r="O15" s="41">
        <v>6</v>
      </c>
      <c r="P15" s="42" t="str">
        <f>IF(O15="","",IF(O15&lt;5,"Lav",IF(O15&lt;10,"Middel","Høj")))</f>
        <v>Middel</v>
      </c>
      <c r="Q15" s="41" t="s">
        <v>386</v>
      </c>
      <c r="R15" s="40" t="s">
        <v>440</v>
      </c>
      <c r="S15" s="41" t="s">
        <v>386</v>
      </c>
      <c r="T15" s="40" t="s">
        <v>441</v>
      </c>
    </row>
    <row r="16" spans="1:20" ht="57.75" customHeight="1" x14ac:dyDescent="0.25">
      <c r="A16" s="40" t="s">
        <v>442</v>
      </c>
      <c r="B16" s="40" t="s">
        <v>443</v>
      </c>
      <c r="C16" s="40" t="s">
        <v>444</v>
      </c>
      <c r="D16" s="40" t="s">
        <v>445</v>
      </c>
      <c r="E16" s="41">
        <v>3</v>
      </c>
      <c r="F16" s="40" t="s">
        <v>446</v>
      </c>
      <c r="G16" s="41">
        <v>4</v>
      </c>
      <c r="H16" s="40" t="s">
        <v>447</v>
      </c>
      <c r="I16" s="42">
        <f>IF(OR(E16="",G16=""),"",E16*G16)</f>
        <v>12</v>
      </c>
      <c r="J16" s="42" t="str">
        <f>IF(I16="","",IF(I16&lt;5,"Lav",IF(I16&lt;10,"Middel","Høj")))</f>
        <v>Høj</v>
      </c>
      <c r="K16" s="41">
        <v>2</v>
      </c>
      <c r="L16" s="41" t="s">
        <v>395</v>
      </c>
      <c r="M16" s="40" t="s">
        <v>448</v>
      </c>
      <c r="N16" s="40" t="s">
        <v>449</v>
      </c>
      <c r="O16" s="41">
        <v>6</v>
      </c>
      <c r="P16" s="42" t="str">
        <f>IF(O16="","",IF(O16&lt;5,"Lav",IF(O16&lt;10,"Middel","Høj")))</f>
        <v>Middel</v>
      </c>
      <c r="Q16" s="41" t="s">
        <v>386</v>
      </c>
      <c r="R16" s="40" t="s">
        <v>450</v>
      </c>
      <c r="S16" s="41" t="s">
        <v>386</v>
      </c>
      <c r="T16" s="40" t="s">
        <v>451</v>
      </c>
    </row>
    <row r="17" spans="1:20" ht="45" customHeight="1" x14ac:dyDescent="0.25">
      <c r="A17" s="40" t="s">
        <v>452</v>
      </c>
      <c r="B17" s="40" t="s">
        <v>453</v>
      </c>
      <c r="C17" s="40" t="s">
        <v>377</v>
      </c>
      <c r="D17" s="40" t="s">
        <v>454</v>
      </c>
      <c r="E17" s="41">
        <v>2</v>
      </c>
      <c r="F17" s="40" t="s">
        <v>455</v>
      </c>
      <c r="G17" s="41">
        <v>3</v>
      </c>
      <c r="H17" s="40" t="s">
        <v>456</v>
      </c>
      <c r="I17" s="42">
        <f>IF(OR(E17="",G17=""),"",E17*G17)</f>
        <v>6</v>
      </c>
      <c r="J17" s="42" t="str">
        <f>IF(I17="","",IF(I17&lt;5,"Lav",IF(I17&lt;10,"Middel","Høj")))</f>
        <v>Middel</v>
      </c>
      <c r="K17" s="41">
        <v>2</v>
      </c>
      <c r="L17" s="41" t="s">
        <v>386</v>
      </c>
      <c r="M17" s="40" t="s">
        <v>457</v>
      </c>
      <c r="N17" s="40" t="s">
        <v>377</v>
      </c>
      <c r="O17" s="41">
        <v>3</v>
      </c>
      <c r="P17" s="42" t="str">
        <f>IF(O17="","",IF(O17&lt;5,"Lav",IF(O17&lt;10,"Middel","Høj")))</f>
        <v>Lav</v>
      </c>
      <c r="Q17" s="41" t="s">
        <v>386</v>
      </c>
      <c r="R17" s="40" t="s">
        <v>458</v>
      </c>
      <c r="S17" s="41" t="s">
        <v>395</v>
      </c>
      <c r="T17" s="40"/>
    </row>
    <row r="18" spans="1:20" ht="19.5" customHeight="1" x14ac:dyDescent="0.25">
      <c r="A18" s="82" t="s">
        <v>155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</row>
    <row r="19" spans="1:20" ht="33" customHeight="1" x14ac:dyDescent="0.25">
      <c r="A19" s="40" t="s">
        <v>459</v>
      </c>
      <c r="B19" s="40" t="s">
        <v>460</v>
      </c>
      <c r="C19" s="40" t="s">
        <v>461</v>
      </c>
      <c r="D19" s="40" t="s">
        <v>462</v>
      </c>
      <c r="E19" s="41">
        <v>2</v>
      </c>
      <c r="F19" s="40" t="s">
        <v>463</v>
      </c>
      <c r="G19" s="41">
        <v>4</v>
      </c>
      <c r="H19" s="40" t="s">
        <v>464</v>
      </c>
      <c r="I19" s="42">
        <f>IF(OR(E19="",G19=""),"",E19*G19)</f>
        <v>8</v>
      </c>
      <c r="J19" s="42" t="str">
        <f>IF(I19="","",IF(I19&lt;5,"Lav",IF(I19&lt;10,"Middel","Høj")))</f>
        <v>Middel</v>
      </c>
      <c r="K19" s="41">
        <v>2</v>
      </c>
      <c r="L19" s="41" t="s">
        <v>395</v>
      </c>
      <c r="M19" s="40" t="s">
        <v>465</v>
      </c>
      <c r="N19" s="40" t="s">
        <v>461</v>
      </c>
      <c r="O19" s="41">
        <v>4</v>
      </c>
      <c r="P19" s="42" t="str">
        <f>IF(O19="","",IF(O19&lt;5,"Lav",IF(O19&lt;10,"Middel","Høj")))</f>
        <v>Lav</v>
      </c>
      <c r="Q19" s="41" t="s">
        <v>386</v>
      </c>
      <c r="R19" s="40" t="s">
        <v>466</v>
      </c>
      <c r="S19" s="41" t="s">
        <v>386</v>
      </c>
      <c r="T19" s="40"/>
    </row>
    <row r="20" spans="1:20" ht="45" customHeight="1" x14ac:dyDescent="0.25">
      <c r="A20" s="40" t="s">
        <v>467</v>
      </c>
      <c r="B20" s="40" t="s">
        <v>468</v>
      </c>
      <c r="C20" s="40" t="s">
        <v>377</v>
      </c>
      <c r="D20" s="40" t="s">
        <v>469</v>
      </c>
      <c r="E20" s="41">
        <v>3</v>
      </c>
      <c r="F20" s="40" t="s">
        <v>470</v>
      </c>
      <c r="G20" s="41">
        <v>5</v>
      </c>
      <c r="H20" s="40" t="s">
        <v>471</v>
      </c>
      <c r="I20" s="42">
        <f>IF(OR(E20="",G20=""),"",E20*G20)</f>
        <v>15</v>
      </c>
      <c r="J20" s="42" t="str">
        <f>IF(I20="","",IF(I20&lt;5,"Lav",IF(I20&lt;10,"Middel","Høj")))</f>
        <v>Høj</v>
      </c>
      <c r="K20" s="41">
        <v>2</v>
      </c>
      <c r="L20" s="41" t="s">
        <v>395</v>
      </c>
      <c r="M20" s="40" t="s">
        <v>472</v>
      </c>
      <c r="N20" s="40" t="s">
        <v>377</v>
      </c>
      <c r="O20" s="41">
        <v>6</v>
      </c>
      <c r="P20" s="42" t="str">
        <f>IF(O20="","",IF(O20&lt;5,"Lav",IF(O20&lt;10,"Middel","Høj")))</f>
        <v>Middel</v>
      </c>
      <c r="Q20" s="41" t="s">
        <v>386</v>
      </c>
      <c r="R20" s="40" t="s">
        <v>473</v>
      </c>
      <c r="S20" s="41" t="s">
        <v>386</v>
      </c>
      <c r="T20" s="40" t="s">
        <v>474</v>
      </c>
    </row>
    <row r="21" spans="1:20" ht="45" customHeight="1" x14ac:dyDescent="0.25">
      <c r="A21" s="40" t="s">
        <v>475</v>
      </c>
      <c r="B21" s="40" t="s">
        <v>476</v>
      </c>
      <c r="C21" s="40" t="s">
        <v>477</v>
      </c>
      <c r="D21" s="40" t="s">
        <v>478</v>
      </c>
      <c r="E21" s="41">
        <v>2</v>
      </c>
      <c r="F21" s="40" t="s">
        <v>479</v>
      </c>
      <c r="G21" s="41">
        <v>3</v>
      </c>
      <c r="H21" s="40" t="s">
        <v>480</v>
      </c>
      <c r="I21" s="42">
        <f>IF(OR(E21="",G21=""),"",E21*G21)</f>
        <v>6</v>
      </c>
      <c r="J21" s="42" t="str">
        <f>IF(I21="","",IF(I21&lt;5,"Lav",IF(I21&lt;10,"Middel","Høj")))</f>
        <v>Middel</v>
      </c>
      <c r="K21" s="41">
        <v>1</v>
      </c>
      <c r="L21" s="41" t="s">
        <v>386</v>
      </c>
      <c r="M21" s="40" t="s">
        <v>481</v>
      </c>
      <c r="N21" s="40" t="s">
        <v>477</v>
      </c>
      <c r="O21" s="41">
        <v>4</v>
      </c>
      <c r="P21" s="42" t="str">
        <f>IF(O21="","",IF(O21&lt;5,"Lav",IF(O21&lt;10,"Middel","Høj")))</f>
        <v>Lav</v>
      </c>
      <c r="Q21" s="41" t="s">
        <v>386</v>
      </c>
      <c r="R21" s="40" t="s">
        <v>482</v>
      </c>
      <c r="S21" s="41" t="s">
        <v>395</v>
      </c>
      <c r="T21" s="40" t="s">
        <v>483</v>
      </c>
    </row>
    <row r="22" spans="1:20" ht="45" customHeight="1" x14ac:dyDescent="0.25">
      <c r="A22" s="40" t="s">
        <v>484</v>
      </c>
      <c r="B22" s="40" t="s">
        <v>485</v>
      </c>
      <c r="C22" s="40" t="s">
        <v>377</v>
      </c>
      <c r="D22" s="40" t="s">
        <v>486</v>
      </c>
      <c r="E22" s="41">
        <v>3</v>
      </c>
      <c r="F22" s="40" t="s">
        <v>487</v>
      </c>
      <c r="G22" s="41">
        <v>3</v>
      </c>
      <c r="H22" s="40" t="s">
        <v>488</v>
      </c>
      <c r="I22" s="42">
        <f>IF(OR(E22="",G22=""),"",E22*G22)</f>
        <v>9</v>
      </c>
      <c r="J22" s="42" t="str">
        <f>IF(I22="","",IF(I22&lt;5,"Lav",IF(I22&lt;10,"Middel","Høj")))</f>
        <v>Middel</v>
      </c>
      <c r="K22" s="41">
        <v>2</v>
      </c>
      <c r="L22" s="41" t="s">
        <v>395</v>
      </c>
      <c r="M22" s="40" t="s">
        <v>489</v>
      </c>
      <c r="N22" s="40" t="s">
        <v>377</v>
      </c>
      <c r="O22" s="41">
        <v>4</v>
      </c>
      <c r="P22" s="42" t="str">
        <f>IF(O22="","",IF(O22&lt;5,"Lav",IF(O22&lt;10,"Middel","Høj")))</f>
        <v>Lav</v>
      </c>
      <c r="Q22" s="41" t="s">
        <v>386</v>
      </c>
      <c r="R22" s="40" t="s">
        <v>490</v>
      </c>
      <c r="S22" s="41" t="s">
        <v>386</v>
      </c>
      <c r="T22" s="40"/>
    </row>
    <row r="23" spans="1:20" ht="19.5" customHeight="1" x14ac:dyDescent="0.25">
      <c r="A23" s="82" t="s">
        <v>156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</row>
    <row r="24" spans="1:20" ht="45" customHeight="1" x14ac:dyDescent="0.25">
      <c r="A24" s="40" t="s">
        <v>491</v>
      </c>
      <c r="B24" s="40" t="s">
        <v>492</v>
      </c>
      <c r="C24" s="40" t="s">
        <v>493</v>
      </c>
      <c r="D24" s="40" t="s">
        <v>494</v>
      </c>
      <c r="E24" s="41">
        <v>3</v>
      </c>
      <c r="F24" s="40" t="s">
        <v>495</v>
      </c>
      <c r="G24" s="41">
        <v>3</v>
      </c>
      <c r="H24" s="40" t="s">
        <v>496</v>
      </c>
      <c r="I24" s="42">
        <f>IF(OR(E24="",G24=""),"",E24*G24)</f>
        <v>9</v>
      </c>
      <c r="J24" s="42" t="str">
        <f>IF(I24="","",IF(I24&lt;5,"Lav",IF(I24&lt;10,"Middel","Høj")))</f>
        <v>Middel</v>
      </c>
      <c r="K24" s="41">
        <v>3</v>
      </c>
      <c r="L24" s="41" t="s">
        <v>395</v>
      </c>
      <c r="M24" s="40" t="s">
        <v>497</v>
      </c>
      <c r="N24" s="40" t="s">
        <v>493</v>
      </c>
      <c r="O24" s="41">
        <v>4</v>
      </c>
      <c r="P24" s="42" t="str">
        <f>IF(O24="","",IF(O24&lt;5,"Lav",IF(O24&lt;10,"Middel","Høj")))</f>
        <v>Lav</v>
      </c>
      <c r="Q24" s="41" t="s">
        <v>386</v>
      </c>
      <c r="R24" s="40" t="s">
        <v>498</v>
      </c>
      <c r="S24" s="41" t="s">
        <v>386</v>
      </c>
      <c r="T24" s="40" t="s">
        <v>499</v>
      </c>
    </row>
    <row r="25" spans="1:20" ht="45" customHeight="1" x14ac:dyDescent="0.25">
      <c r="A25" s="40" t="s">
        <v>500</v>
      </c>
      <c r="B25" s="40" t="s">
        <v>501</v>
      </c>
      <c r="C25" s="40" t="s">
        <v>493</v>
      </c>
      <c r="D25" s="40" t="s">
        <v>502</v>
      </c>
      <c r="E25" s="41">
        <v>3</v>
      </c>
      <c r="F25" s="40" t="s">
        <v>503</v>
      </c>
      <c r="G25" s="41">
        <v>3</v>
      </c>
      <c r="H25" s="40" t="s">
        <v>504</v>
      </c>
      <c r="I25" s="42">
        <f>IF(OR(E25="",G25=""),"",E25*G25)</f>
        <v>9</v>
      </c>
      <c r="J25" s="42" t="str">
        <f>IF(I25="","",IF(I25&lt;5,"Lav",IF(I25&lt;10,"Middel","Høj")))</f>
        <v>Middel</v>
      </c>
      <c r="K25" s="41">
        <v>3</v>
      </c>
      <c r="L25" s="41" t="s">
        <v>395</v>
      </c>
      <c r="M25" s="40" t="s">
        <v>505</v>
      </c>
      <c r="N25" s="40" t="s">
        <v>377</v>
      </c>
      <c r="O25" s="41">
        <v>3</v>
      </c>
      <c r="P25" s="42" t="str">
        <f>IF(O25="","",IF(O25&lt;5,"Lav",IF(O25&lt;10,"Middel","Høj")))</f>
        <v>Lav</v>
      </c>
      <c r="Q25" s="41" t="s">
        <v>386</v>
      </c>
      <c r="R25" s="40" t="s">
        <v>506</v>
      </c>
      <c r="S25" s="41" t="s">
        <v>386</v>
      </c>
      <c r="T25" s="40"/>
    </row>
    <row r="26" spans="1:20" ht="45" customHeight="1" x14ac:dyDescent="0.25">
      <c r="A26" s="40" t="s">
        <v>507</v>
      </c>
      <c r="B26" s="40" t="s">
        <v>508</v>
      </c>
      <c r="C26" s="40" t="s">
        <v>377</v>
      </c>
      <c r="D26" s="40" t="s">
        <v>509</v>
      </c>
      <c r="E26" s="41">
        <v>2</v>
      </c>
      <c r="F26" s="40" t="s">
        <v>510</v>
      </c>
      <c r="G26" s="41">
        <v>5</v>
      </c>
      <c r="H26" s="40" t="s">
        <v>511</v>
      </c>
      <c r="I26" s="42">
        <f>IF(OR(E26="",G26=""),"",E26*G26)</f>
        <v>10</v>
      </c>
      <c r="J26" s="42" t="str">
        <f>IF(I26="","",IF(I26&lt;5,"Lav",IF(I26&lt;10,"Middel","Høj")))</f>
        <v>Høj</v>
      </c>
      <c r="K26" s="41">
        <v>2</v>
      </c>
      <c r="L26" s="41" t="s">
        <v>395</v>
      </c>
      <c r="M26" s="40" t="s">
        <v>512</v>
      </c>
      <c r="N26" s="40" t="s">
        <v>377</v>
      </c>
      <c r="O26" s="41">
        <v>5</v>
      </c>
      <c r="P26" s="42" t="str">
        <f>IF(O26="","",IF(O26&lt;5,"Lav",IF(O26&lt;10,"Middel","Høj")))</f>
        <v>Middel</v>
      </c>
      <c r="Q26" s="41" t="s">
        <v>386</v>
      </c>
      <c r="R26" s="40" t="s">
        <v>513</v>
      </c>
      <c r="S26" s="41" t="s">
        <v>386</v>
      </c>
      <c r="T26" s="40"/>
    </row>
    <row r="27" spans="1:20" ht="33" customHeight="1" x14ac:dyDescent="0.25">
      <c r="A27" s="40" t="s">
        <v>514</v>
      </c>
      <c r="B27" s="40" t="s">
        <v>515</v>
      </c>
      <c r="C27" s="40" t="s">
        <v>477</v>
      </c>
      <c r="D27" s="40" t="s">
        <v>516</v>
      </c>
      <c r="E27" s="41">
        <v>2</v>
      </c>
      <c r="F27" s="40" t="s">
        <v>517</v>
      </c>
      <c r="G27" s="41">
        <v>2</v>
      </c>
      <c r="H27" s="40" t="s">
        <v>518</v>
      </c>
      <c r="I27" s="42">
        <f>IF(OR(E27="",G27=""),"",E27*G27)</f>
        <v>4</v>
      </c>
      <c r="J27" s="42" t="str">
        <f>IF(I27="","",IF(I27&lt;5,"Lav",IF(I27&lt;10,"Middel","Høj")))</f>
        <v>Lav</v>
      </c>
      <c r="K27" s="41">
        <v>1</v>
      </c>
      <c r="L27" s="41" t="s">
        <v>386</v>
      </c>
      <c r="M27" s="40" t="s">
        <v>519</v>
      </c>
      <c r="N27" s="40" t="s">
        <v>377</v>
      </c>
      <c r="O27" s="41">
        <v>2</v>
      </c>
      <c r="P27" s="42" t="str">
        <f>IF(O27="","",IF(O27&lt;5,"Lav",IF(O27&lt;10,"Middel","Høj")))</f>
        <v>Lav</v>
      </c>
      <c r="Q27" s="41" t="s">
        <v>386</v>
      </c>
      <c r="R27" s="40" t="s">
        <v>520</v>
      </c>
      <c r="S27" s="41" t="s">
        <v>395</v>
      </c>
      <c r="T27" s="40"/>
    </row>
    <row r="28" spans="1:20" ht="19.5" customHeight="1" x14ac:dyDescent="0.25">
      <c r="A28" s="82" t="s">
        <v>157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</row>
    <row r="29" spans="1:20" ht="33" customHeight="1" x14ac:dyDescent="0.25">
      <c r="A29" s="40" t="s">
        <v>521</v>
      </c>
      <c r="B29" s="40" t="s">
        <v>522</v>
      </c>
      <c r="C29" s="40" t="s">
        <v>377</v>
      </c>
      <c r="D29" s="40" t="s">
        <v>523</v>
      </c>
      <c r="E29" s="41">
        <v>2</v>
      </c>
      <c r="F29" s="40" t="s">
        <v>524</v>
      </c>
      <c r="G29" s="41">
        <v>5</v>
      </c>
      <c r="H29" s="40" t="s">
        <v>525</v>
      </c>
      <c r="I29" s="42">
        <f>IF(OR(E29="",G29=""),"",E29*G29)</f>
        <v>10</v>
      </c>
      <c r="J29" s="42" t="str">
        <f>IF(I29="","",IF(I29&lt;5,"Lav",IF(I29&lt;10,"Middel","Høj")))</f>
        <v>Høj</v>
      </c>
      <c r="K29" s="41">
        <v>2</v>
      </c>
      <c r="L29" s="41" t="s">
        <v>395</v>
      </c>
      <c r="M29" s="40" t="s">
        <v>526</v>
      </c>
      <c r="N29" s="40" t="s">
        <v>377</v>
      </c>
      <c r="O29" s="41">
        <v>6</v>
      </c>
      <c r="P29" s="42" t="str">
        <f>IF(O29="","",IF(O29&lt;5,"Lav",IF(O29&lt;10,"Middel","Høj")))</f>
        <v>Middel</v>
      </c>
      <c r="Q29" s="41" t="s">
        <v>386</v>
      </c>
      <c r="R29" s="40" t="s">
        <v>527</v>
      </c>
      <c r="S29" s="41" t="s">
        <v>386</v>
      </c>
      <c r="T29" s="40"/>
    </row>
    <row r="30" spans="1:20" ht="33" customHeight="1" x14ac:dyDescent="0.25">
      <c r="A30" s="40" t="s">
        <v>528</v>
      </c>
      <c r="B30" s="40" t="s">
        <v>529</v>
      </c>
      <c r="C30" s="40" t="s">
        <v>377</v>
      </c>
      <c r="D30" s="40" t="s">
        <v>530</v>
      </c>
      <c r="E30" s="41">
        <v>1</v>
      </c>
      <c r="F30" s="40" t="s">
        <v>531</v>
      </c>
      <c r="G30" s="41">
        <v>5</v>
      </c>
      <c r="H30" s="40" t="s">
        <v>532</v>
      </c>
      <c r="I30" s="42">
        <f>IF(OR(E30="",G30=""),"",E30*G30)</f>
        <v>5</v>
      </c>
      <c r="J30" s="42" t="str">
        <f>IF(I30="","",IF(I30&lt;5,"Lav",IF(I30&lt;10,"Middel","Høj")))</f>
        <v>Middel</v>
      </c>
      <c r="K30" s="41">
        <v>1</v>
      </c>
      <c r="L30" s="41" t="s">
        <v>386</v>
      </c>
      <c r="M30" s="40" t="s">
        <v>533</v>
      </c>
      <c r="N30" s="40" t="s">
        <v>377</v>
      </c>
      <c r="O30" s="41">
        <v>4</v>
      </c>
      <c r="P30" s="42" t="str">
        <f>IF(O30="","",IF(O30&lt;5,"Lav",IF(O30&lt;10,"Middel","Høj")))</f>
        <v>Lav</v>
      </c>
      <c r="Q30" s="41" t="s">
        <v>386</v>
      </c>
      <c r="R30" s="40" t="s">
        <v>534</v>
      </c>
      <c r="S30" s="41" t="s">
        <v>395</v>
      </c>
      <c r="T30" s="40" t="s">
        <v>535</v>
      </c>
    </row>
    <row r="31" spans="1:20" ht="45" customHeight="1" x14ac:dyDescent="0.25">
      <c r="A31" s="40" t="s">
        <v>536</v>
      </c>
      <c r="B31" s="40" t="s">
        <v>537</v>
      </c>
      <c r="C31" s="40" t="s">
        <v>538</v>
      </c>
      <c r="D31" s="40" t="s">
        <v>539</v>
      </c>
      <c r="E31" s="41">
        <v>3</v>
      </c>
      <c r="F31" s="40" t="s">
        <v>540</v>
      </c>
      <c r="G31" s="41">
        <v>3</v>
      </c>
      <c r="H31" s="40" t="s">
        <v>541</v>
      </c>
      <c r="I31" s="42">
        <f>IF(OR(E31="",G31=""),"",E31*G31)</f>
        <v>9</v>
      </c>
      <c r="J31" s="42" t="str">
        <f>IF(I31="","",IF(I31&lt;5,"Lav",IF(I31&lt;10,"Middel","Høj")))</f>
        <v>Middel</v>
      </c>
      <c r="K31" s="41">
        <v>3</v>
      </c>
      <c r="L31" s="41" t="s">
        <v>395</v>
      </c>
      <c r="M31" s="40" t="s">
        <v>542</v>
      </c>
      <c r="N31" s="40" t="s">
        <v>538</v>
      </c>
      <c r="O31" s="41">
        <v>4</v>
      </c>
      <c r="P31" s="42" t="str">
        <f>IF(O31="","",IF(O31&lt;5,"Lav",IF(O31&lt;10,"Middel","Høj")))</f>
        <v>Lav</v>
      </c>
      <c r="Q31" s="41" t="s">
        <v>386</v>
      </c>
      <c r="R31" s="40" t="s">
        <v>543</v>
      </c>
      <c r="S31" s="41" t="s">
        <v>386</v>
      </c>
      <c r="T31" s="40" t="s">
        <v>544</v>
      </c>
    </row>
    <row r="32" spans="1:20" ht="33" customHeight="1" x14ac:dyDescent="0.25">
      <c r="A32" s="40" t="s">
        <v>545</v>
      </c>
      <c r="B32" s="40" t="s">
        <v>546</v>
      </c>
      <c r="C32" s="40" t="s">
        <v>417</v>
      </c>
      <c r="D32" s="40" t="s">
        <v>547</v>
      </c>
      <c r="E32" s="41">
        <v>2</v>
      </c>
      <c r="F32" s="40" t="s">
        <v>548</v>
      </c>
      <c r="G32" s="41">
        <v>4</v>
      </c>
      <c r="H32" s="40" t="s">
        <v>549</v>
      </c>
      <c r="I32" s="42">
        <f>IF(OR(E32="",G32=""),"",E32*G32)</f>
        <v>8</v>
      </c>
      <c r="J32" s="42" t="str">
        <f>IF(I32="","",IF(I32&lt;5,"Lav",IF(I32&lt;10,"Middel","Høj")))</f>
        <v>Middel</v>
      </c>
      <c r="K32" s="41">
        <v>1</v>
      </c>
      <c r="L32" s="41" t="s">
        <v>395</v>
      </c>
      <c r="M32" s="40" t="s">
        <v>550</v>
      </c>
      <c r="N32" s="40" t="s">
        <v>417</v>
      </c>
      <c r="O32" s="41">
        <v>6</v>
      </c>
      <c r="P32" s="42" t="str">
        <f>IF(O32="","",IF(O32&lt;5,"Lav",IF(O32&lt;10,"Middel","Høj")))</f>
        <v>Middel</v>
      </c>
      <c r="Q32" s="41" t="s">
        <v>386</v>
      </c>
      <c r="R32" s="40" t="s">
        <v>551</v>
      </c>
      <c r="S32" s="41" t="s">
        <v>395</v>
      </c>
      <c r="T32" s="40"/>
    </row>
    <row r="33" spans="1:20" ht="19.5" customHeight="1" x14ac:dyDescent="0.25">
      <c r="A33" s="82" t="s">
        <v>158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</row>
    <row r="34" spans="1:20" ht="45" customHeight="1" x14ac:dyDescent="0.25">
      <c r="A34" s="40" t="s">
        <v>552</v>
      </c>
      <c r="B34" s="40" t="s">
        <v>553</v>
      </c>
      <c r="C34" s="40" t="s">
        <v>377</v>
      </c>
      <c r="D34" s="40" t="s">
        <v>554</v>
      </c>
      <c r="E34" s="41">
        <v>3</v>
      </c>
      <c r="F34" s="40" t="s">
        <v>555</v>
      </c>
      <c r="G34" s="41">
        <v>4</v>
      </c>
      <c r="H34" s="40" t="s">
        <v>556</v>
      </c>
      <c r="I34" s="42">
        <f>IF(OR(E34="",G34=""),"",E34*G34)</f>
        <v>12</v>
      </c>
      <c r="J34" s="42" t="str">
        <f>IF(I34="","",IF(I34&lt;5,"Lav",IF(I34&lt;10,"Middel","Høj")))</f>
        <v>Høj</v>
      </c>
      <c r="K34" s="41">
        <v>2</v>
      </c>
      <c r="L34" s="41" t="s">
        <v>395</v>
      </c>
      <c r="M34" s="40" t="s">
        <v>557</v>
      </c>
      <c r="N34" s="40" t="s">
        <v>377</v>
      </c>
      <c r="O34" s="41">
        <v>6</v>
      </c>
      <c r="P34" s="42" t="str">
        <f>IF(O34="","",IF(O34&lt;5,"Lav",IF(O34&lt;10,"Middel","Høj")))</f>
        <v>Middel</v>
      </c>
      <c r="Q34" s="41" t="s">
        <v>386</v>
      </c>
      <c r="R34" s="40" t="s">
        <v>558</v>
      </c>
      <c r="S34" s="41" t="s">
        <v>386</v>
      </c>
      <c r="T34" s="40"/>
    </row>
    <row r="35" spans="1:20" ht="57.75" customHeight="1" x14ac:dyDescent="0.25">
      <c r="A35" s="40" t="s">
        <v>559</v>
      </c>
      <c r="B35" s="40" t="s">
        <v>560</v>
      </c>
      <c r="C35" s="40" t="s">
        <v>477</v>
      </c>
      <c r="D35" s="40" t="s">
        <v>561</v>
      </c>
      <c r="E35" s="41">
        <v>2</v>
      </c>
      <c r="F35" s="40" t="s">
        <v>562</v>
      </c>
      <c r="G35" s="41">
        <v>4</v>
      </c>
      <c r="H35" s="40" t="s">
        <v>563</v>
      </c>
      <c r="I35" s="42">
        <f>IF(OR(E35="",G35=""),"",E35*G35)</f>
        <v>8</v>
      </c>
      <c r="J35" s="42" t="str">
        <f>IF(I35="","",IF(I35&lt;5,"Lav",IF(I35&lt;10,"Middel","Høj")))</f>
        <v>Middel</v>
      </c>
      <c r="K35" s="41">
        <v>2</v>
      </c>
      <c r="L35" s="41" t="s">
        <v>395</v>
      </c>
      <c r="M35" s="40" t="s">
        <v>564</v>
      </c>
      <c r="N35" s="40" t="s">
        <v>477</v>
      </c>
      <c r="O35" s="41">
        <v>3</v>
      </c>
      <c r="P35" s="42" t="str">
        <f>IF(O35="","",IF(O35&lt;5,"Lav",IF(O35&lt;10,"Middel","Høj")))</f>
        <v>Lav</v>
      </c>
      <c r="Q35" s="41" t="s">
        <v>386</v>
      </c>
      <c r="R35" s="40" t="s">
        <v>565</v>
      </c>
      <c r="S35" s="41" t="s">
        <v>386</v>
      </c>
      <c r="T35" s="40"/>
    </row>
    <row r="36" spans="1:20" ht="45" customHeight="1" x14ac:dyDescent="0.25">
      <c r="A36" s="40" t="s">
        <v>566</v>
      </c>
      <c r="B36" s="40" t="s">
        <v>567</v>
      </c>
      <c r="C36" s="40" t="s">
        <v>477</v>
      </c>
      <c r="D36" s="40" t="s">
        <v>568</v>
      </c>
      <c r="E36" s="41">
        <v>2</v>
      </c>
      <c r="F36" s="40" t="s">
        <v>569</v>
      </c>
      <c r="G36" s="41">
        <v>5</v>
      </c>
      <c r="H36" s="40" t="s">
        <v>570</v>
      </c>
      <c r="I36" s="42">
        <f>IF(OR(E36="",G36=""),"",E36*G36)</f>
        <v>10</v>
      </c>
      <c r="J36" s="42" t="str">
        <f>IF(I36="","",IF(I36&lt;5,"Lav",IF(I36&lt;10,"Middel","Høj")))</f>
        <v>Høj</v>
      </c>
      <c r="K36" s="41">
        <v>2</v>
      </c>
      <c r="L36" s="41" t="s">
        <v>395</v>
      </c>
      <c r="M36" s="40" t="s">
        <v>571</v>
      </c>
      <c r="N36" s="40" t="s">
        <v>477</v>
      </c>
      <c r="O36" s="41">
        <v>5</v>
      </c>
      <c r="P36" s="42" t="str">
        <f>IF(O36="","",IF(O36&lt;5,"Lav",IF(O36&lt;10,"Middel","Høj")))</f>
        <v>Middel</v>
      </c>
      <c r="Q36" s="41" t="s">
        <v>386</v>
      </c>
      <c r="R36" s="40" t="s">
        <v>572</v>
      </c>
      <c r="S36" s="41" t="s">
        <v>386</v>
      </c>
      <c r="T36" s="40"/>
    </row>
    <row r="37" spans="1:20" ht="33" customHeight="1" x14ac:dyDescent="0.25">
      <c r="A37" s="40" t="s">
        <v>573</v>
      </c>
      <c r="B37" s="40" t="s">
        <v>574</v>
      </c>
      <c r="C37" s="40" t="s">
        <v>575</v>
      </c>
      <c r="D37" s="40" t="s">
        <v>576</v>
      </c>
      <c r="E37" s="41">
        <v>2</v>
      </c>
      <c r="F37" s="40" t="s">
        <v>577</v>
      </c>
      <c r="G37" s="41">
        <v>3</v>
      </c>
      <c r="H37" s="40" t="s">
        <v>578</v>
      </c>
      <c r="I37" s="42">
        <f>IF(OR(E37="",G37=""),"",E37*G37)</f>
        <v>6</v>
      </c>
      <c r="J37" s="42" t="str">
        <f>IF(I37="","",IF(I37&lt;5,"Lav",IF(I37&lt;10,"Middel","Høj")))</f>
        <v>Middel</v>
      </c>
      <c r="K37" s="41">
        <v>2</v>
      </c>
      <c r="L37" s="41" t="s">
        <v>395</v>
      </c>
      <c r="M37" s="40" t="s">
        <v>579</v>
      </c>
      <c r="N37" s="40" t="s">
        <v>575</v>
      </c>
      <c r="O37" s="41">
        <v>3</v>
      </c>
      <c r="P37" s="42" t="str">
        <f>IF(O37="","",IF(O37&lt;5,"Lav",IF(O37&lt;10,"Middel","Høj")))</f>
        <v>Lav</v>
      </c>
      <c r="Q37" s="41" t="s">
        <v>386</v>
      </c>
      <c r="R37" s="40" t="s">
        <v>580</v>
      </c>
      <c r="S37" s="41" t="s">
        <v>395</v>
      </c>
      <c r="T37" s="40"/>
    </row>
  </sheetData>
  <mergeCells count="17">
    <mergeCell ref="A23:T23"/>
    <mergeCell ref="A28:T28"/>
    <mergeCell ref="A33:T33"/>
    <mergeCell ref="A5:L5"/>
    <mergeCell ref="M5:T5"/>
    <mergeCell ref="A7:T7"/>
    <mergeCell ref="A13:T13"/>
    <mergeCell ref="A18:T18"/>
    <mergeCell ref="A1:T1"/>
    <mergeCell ref="A2:T2"/>
    <mergeCell ref="B3:D3"/>
    <mergeCell ref="E3:F3"/>
    <mergeCell ref="G3:H3"/>
    <mergeCell ref="I3:J3"/>
    <mergeCell ref="K3:L3"/>
    <mergeCell ref="N3:O3"/>
    <mergeCell ref="R3:T3"/>
  </mergeCells>
  <conditionalFormatting sqref="I7:I37">
    <cfRule type="expression" dxfId="14" priority="2">
      <formula>AND(ISNUMBER(I7),I7&gt;=10)</formula>
    </cfRule>
    <cfRule type="expression" dxfId="13" priority="3">
      <formula>AND(ISNUMBER(I7),I7&gt;=5)</formula>
    </cfRule>
    <cfRule type="expression" dxfId="12" priority="4">
      <formula>AND(ISNUMBER(I7),I7&gt;=1)</formula>
    </cfRule>
  </conditionalFormatting>
  <conditionalFormatting sqref="J7:J37">
    <cfRule type="cellIs" dxfId="11" priority="8" operator="equal">
      <formula>"Lav"</formula>
    </cfRule>
    <cfRule type="cellIs" dxfId="10" priority="9" operator="equal">
      <formula>"Middel"</formula>
    </cfRule>
    <cfRule type="cellIs" dxfId="9" priority="10" operator="equal">
      <formula>"Høj"</formula>
    </cfRule>
  </conditionalFormatting>
  <conditionalFormatting sqref="K7:K37">
    <cfRule type="cellIs" dxfId="8" priority="14" operator="equal">
      <formula>1</formula>
    </cfRule>
    <cfRule type="cellIs" dxfId="7" priority="15" operator="equal">
      <formula>2</formula>
    </cfRule>
    <cfRule type="cellIs" dxfId="6" priority="16" operator="equal">
      <formula>3</formula>
    </cfRule>
  </conditionalFormatting>
  <conditionalFormatting sqref="O7:O37">
    <cfRule type="expression" dxfId="5" priority="5">
      <formula>AND(ISNUMBER(O7),O7&gt;=10)</formula>
    </cfRule>
    <cfRule type="expression" dxfId="4" priority="6">
      <formula>AND(ISNUMBER(O7),O7&gt;=5)</formula>
    </cfRule>
    <cfRule type="expression" dxfId="3" priority="7">
      <formula>AND(ISNUMBER(O7),O7&gt;=1)</formula>
    </cfRule>
  </conditionalFormatting>
  <conditionalFormatting sqref="P7:P37">
    <cfRule type="cellIs" dxfId="2" priority="11" operator="equal">
      <formula>"Lav"</formula>
    </cfRule>
    <cfRule type="cellIs" dxfId="1" priority="12" operator="equal">
      <formula>"Middel"</formula>
    </cfRule>
    <cfRule type="cellIs" dxfId="0" priority="13" operator="equal">
      <formula>"Høj"</formula>
    </cfRule>
  </conditionalFormatting>
  <dataValidations count="4">
    <dataValidation type="whole" allowBlank="1" showErrorMessage="1" errorTitle="Ugyldig værdi" error="Angiv et helt tal fra 1 til 25." sqref="O8:O12 O14:O17 O19:O22 O24:O27 O29:O32 O34:O37" xr:uid="{00000000-0002-0000-0500-000000000000}">
      <formula1>1</formula1>
      <formula2>25</formula2>
    </dataValidation>
    <dataValidation type="list" allowBlank="1" showErrorMessage="1" errorTitle="Ugyldig værdi" error="Vælg en værdi fra listen." sqref="E8:E12 G8:G12 E14:E17 G14:G17 E19:E22 G19:G22 E24:E27 G24:G27 E29:E32 G29:G32 E34:E37 G34:G37" xr:uid="{00000000-0002-0000-0500-000001000000}">
      <formula1>"1,2,3,4,5"</formula1>
      <formula2>0</formula2>
    </dataValidation>
    <dataValidation type="list" allowBlank="1" showErrorMessage="1" errorTitle="Ugyldig værdi" error="Vælg en værdi fra listen." sqref="K8:K12 K14:K17 K19:K22 K24:K27 K29:K32 K34:K37" xr:uid="{00000000-0002-0000-0500-000002000000}">
      <formula1>"1,2,3"</formula1>
      <formula2>0</formula2>
    </dataValidation>
    <dataValidation type="list" allowBlank="1" showErrorMessage="1" errorTitle="Ugyldig værdi" error="Vælg en værdi fra listen." sqref="L8:L12 Q8:Q12 S8:S12 L14:L17 Q14:Q17 S14:S17 L19:L22 Q19:Q22 S19:S22 L24:L27 Q24:Q27 S24:S27 L29:L32 Q29:Q32 S29:S32 L34:L37 Q34:Q37 S34:S37" xr:uid="{00000000-0002-0000-0500-000003000000}">
      <formula1>"Ja,Nej"</formula1>
      <formula2>0</formula2>
    </dataValidation>
  </dataValidations>
  <pageMargins left="0.4" right="0.4" top="1" bottom="1" header="0.511811023622047" footer="0.5"/>
  <pageSetup paperSize="9" fitToHeight="0" orientation="landscape" horizontalDpi="300" verticalDpi="300"/>
  <headerFooter>
    <oddFooter>&amp;L&amp;8 NIS2 Risikovurdering · Kasper Mensink&amp;R&amp;8 &amp;A · side &amp;P af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6</vt:i4>
      </vt:variant>
      <vt:variant>
        <vt:lpstr>Navngivne områder</vt:lpstr>
      </vt:variant>
      <vt:variant>
        <vt:i4>3</vt:i4>
      </vt:variant>
    </vt:vector>
  </HeadingPairs>
  <TitlesOfParts>
    <vt:vector size="9" baseType="lpstr">
      <vt:lpstr>Vejledning</vt:lpstr>
      <vt:lpstr>Risikovurdering</vt:lpstr>
      <vt:lpstr>Risikomatrix</vt:lpstr>
      <vt:lpstr>Trusselskatalog</vt:lpstr>
      <vt:lpstr>Eksempel - Politik</vt:lpstr>
      <vt:lpstr>Eksempel - Risikovurdering</vt:lpstr>
      <vt:lpstr>'Eksempel - Risikovurdering'!Udskriftstitler</vt:lpstr>
      <vt:lpstr>Risikovurdering!Udskriftstitler</vt:lpstr>
      <vt:lpstr>Trusselskatalog!Udskriftstitler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NIS2 Risikovurdering – skabelon og eksempel</dc:title>
  <dc:subject/>
  <dc:creator>Kasper Mensink</dc:creator>
  <dc:description/>
  <cp:lastModifiedBy>Kasper Mensink</cp:lastModifiedBy>
  <cp:revision>0</cp:revision>
  <dcterms:created xsi:type="dcterms:W3CDTF">2026-10-15T08:51:19Z</dcterms:created>
  <dcterms:modified xsi:type="dcterms:W3CDTF">2026-10-15T08:53:23Z</dcterms:modified>
  <dc:language>en-US</dc:language>
</cp:coreProperties>
</file>